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opping List" sheetId="1" state="visible" r:id="rId3"/>
    <sheet name="Measurements" sheetId="2" state="visible" r:id="rId4"/>
    <sheet name="Notes"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<sst xmlns="http://schemas.openxmlformats.org/spreadsheetml/2006/main" count="662" uniqueCount="369">
  <si>
    <t xml:space="preserve">KZ305 Hardware — Shopping List (hybrid revision)</t>
  </si>
  <si>
    <t xml:space="preserve">JIS flange hex for structural and hidden hardware; button head kept for visible covers and trim. Sourced per piece rather than in McMaster pack quantities. GREEN = flange hex, WHITE = button head / other, AMBER = source separately, BLUE = not ordering.</t>
  </si>
  <si>
    <t xml:space="preserve">Item</t>
  </si>
  <si>
    <t xml:space="preserve">Spec</t>
  </si>
  <si>
    <t xml:space="preserve">Material / Class</t>
  </si>
  <si>
    <t xml:space="preserve">Head Style</t>
  </si>
  <si>
    <t xml:space="preserve">Wrench / Driver</t>
  </si>
  <si>
    <t xml:space="preserve">Qty</t>
  </si>
  <si>
    <t xml:space="preserve">Source</t>
  </si>
  <si>
    <t xml:space="preserve">Notes</t>
  </si>
  <si>
    <t xml:space="preserve">BelMetric SKU</t>
  </si>
  <si>
    <t xml:space="preserve">Unit $</t>
  </si>
  <si>
    <t xml:space="preserve">Line Total</t>
  </si>
  <si>
    <t xml:space="preserve">Review Flag</t>
  </si>
  <si>
    <t xml:space="preserve">FLANGE HEX — structural (JIS wrench sizes, class 10.9)</t>
  </si>
  <si>
    <t xml:space="preserve">M8 JIS flange bolt</t>
  </si>
  <si>
    <t xml:space="preserve">M8x1.25 x 16mm</t>
  </si>
  <si>
    <t xml:space="preserve">Class 10.9 zinc</t>
  </si>
  <si>
    <t xml:space="preserve">JIS flange hex</t>
  </si>
  <si>
    <t xml:space="preserve">12mm</t>
  </si>
  <si>
    <t xml:space="preserve">BelMetric</t>
  </si>
  <si>
    <t xml:space="preserve">Rear shock / frame mount. JIS 12mm head — SAME as your original, no clearance risk.</t>
  </si>
  <si>
    <t xml:space="preserve">BF8X16CLZ</t>
  </si>
  <si>
    <t xml:space="preserve">M8x1.25 x 20mm</t>
  </si>
  <si>
    <t xml:space="preserve">Rear engine mount.</t>
  </si>
  <si>
    <t xml:space="preserve">BF8X20CLZ</t>
  </si>
  <si>
    <t xml:space="preserve">M8x1.25 x 40mm</t>
  </si>
  <si>
    <t xml:space="preserve">TRIPLE CLAMP / fork pinch. SAFETY CRITICAL. Confirm the flange clears the clamp face; if not, plain JIS hex.</t>
  </si>
  <si>
    <t xml:space="preserve">BF8X40FCLZ</t>
  </si>
  <si>
    <t xml:space="preserve">BF8X40FCLZ — the F is FULL thread. Fine at 40mm for a fork pinch, but confirm your original wasn't shanked. Also check the flange seats flat on the clamp (Measurements tab).</t>
  </si>
  <si>
    <t xml:space="preserve">M8x1.25 x 50mm</t>
  </si>
  <si>
    <t xml:space="preserve">Upper engine mount. CHECK: original is partial thread (22mm). Flange bolts are often fully threaded — if BelMetric's is, verify the clamped joint tolerates it, or fall back to DIN 931 partial from McMaster.</t>
  </si>
  <si>
    <t xml:space="preserve">Out of stock? </t>
  </si>
  <si>
    <t xml:space="preserve">??</t>
  </si>
  <si>
    <t xml:space="preserve">OUT OF STOCK. Fallbacks in order: (1) BF8X50PCLZ if the partial-thread JIS flange comes back, (2) BJ8X50 JIS hex 12mm head, (3) DIN 931 partial from McMaster at a 13mm head. Also see the thread-length question on the Measurements tab — your original is partial (22mm).</t>
  </si>
  <si>
    <t xml:space="preserve">M10 JIS flange bolt</t>
  </si>
  <si>
    <t xml:space="preserve">M10x1.25 x 35mm</t>
  </si>
  <si>
    <t xml:space="preserve">14mm</t>
  </si>
  <si>
    <t xml:space="preserve">BIG WIN. Rear shock (2) + TRIPLE CLAMP (2). JIS 14mm head is exactly what came off the bike — this RETIRES the M10 clearance risk you were about to accept on faith.</t>
  </si>
  <si>
    <t xml:space="preserve">BF10X1.25X35CLZ</t>
  </si>
  <si>
    <t xml:space="preserve">M12 JIS flange bolt</t>
  </si>
  <si>
    <t xml:space="preserve">M12x1.25 x 25mm</t>
  </si>
  <si>
    <t xml:space="preserve">17mm</t>
  </si>
  <si>
    <t xml:space="preserve">FRONT FOOTPEGS. JIS 17mm head, same as original. Fine pitch is native to the JIS range so no coarse/fine trap here.</t>
  </si>
  <si>
    <t xml:space="preserve">BF12X1.25X25YLW</t>
  </si>
  <si>
    <t xml:space="preserve">HEX — long structural (flange not made this long)</t>
  </si>
  <si>
    <t xml:space="preserve">M6 hex, partial thread</t>
  </si>
  <si>
    <t xml:space="preserve">M6x1.0 x 35mm (20mm thd)</t>
  </si>
  <si>
    <t xml:space="preserve">Class 8.8 zinc</t>
  </si>
  <si>
    <t xml:space="preserve">Hex, partial</t>
  </si>
  <si>
    <t xml:space="preserve">10mm</t>
  </si>
  <si>
    <t xml:space="preserve">McMaster</t>
  </si>
  <si>
    <t xml:space="preserve">CENTER STAND pivot. Smooth shank is the pivot bearing surface. M6 is 10mm in both JIS and DIN, so no head-size issue here.</t>
  </si>
  <si>
    <t xml:space="preserve">BR6X35PCLZ</t>
  </si>
  <si>
    <t xml:space="preserve">You listed two. Take BF6X35PCLZ ($0.53) over BR6X35PCLZ ($0.26) — the flange version integrates the washer and spreads load on the center stand pivot, which is worth 27 cents. Both are partial thread, which is the part that actually matters here.</t>
  </si>
  <si>
    <t xml:space="preserve">M8 hex, partial thread (DIN 931)</t>
  </si>
  <si>
    <t xml:space="preserve">M8x1.25 x 110mm (24mm thd)</t>
  </si>
  <si>
    <t xml:space="preserve">13mm (was 12mm)</t>
  </si>
  <si>
    <t xml:space="preserve">Front engine mount. Too long for a flange bolt. Head grows to 13mm but these pass through open frame ears, so clearance risk is low.</t>
  </si>
  <si>
    <t xml:space="preserve">BH8X110CLZ</t>
  </si>
  <si>
    <t xml:space="preserve">M10 hex, partial thread</t>
  </si>
  <si>
    <t xml:space="preserve">M10x1.25 x 70mm (27mm thd)</t>
  </si>
  <si>
    <t xml:space="preserve">Upper engine mount.</t>
  </si>
  <si>
    <t xml:space="preserve">BJ10X1.25X70</t>
  </si>
  <si>
    <t xml:space="preserve">UPGRADE AVAILABLE — I was wrong. JIS flange M10x1.25 runs to 100mm including PARTIAL thread, so this should be BF10X1.25X70P (JIS flange, 14mm head) rather than BJ. Keeps the original wrench size AND adds the flange bearing face.</t>
  </si>
  <si>
    <t xml:space="preserve">M10x1.25 x 110mm (28mm thd)</t>
  </si>
  <si>
    <t xml:space="preserve">17mm (was 14mm)</t>
  </si>
  <si>
    <t xml:space="preserve">Front engine mount.</t>
  </si>
  <si>
    <t xml:space="preserve">BH10X1.25X110CLZ</t>
  </si>
  <si>
    <t xml:space="preserve">Past the 100mm JIS flange limit, so BH = DIN 17mm head. Test-fit before final torque; keep the original.</t>
  </si>
  <si>
    <t xml:space="preserve">M10x1.25 x 130mm (25mm thd)</t>
  </si>
  <si>
    <t xml:space="preserve">BH10X1.25X130CLZ</t>
  </si>
  <si>
    <t xml:space="preserve">DIN 17mm head. Same caveat. Worth phoning BelMetric to ask whether JIS hex (BJ) exists this long — their site listing is incomplete.</t>
  </si>
  <si>
    <t xml:space="preserve">M10x1.25 x 150mm (25mm thd)</t>
  </si>
  <si>
    <t xml:space="preserve">Rear engine mount, original 145mm running 5mm long. RESIDUAL RISK: these four long M10s keep the 17mm DIN head. Engine mount ears are usually open, but keep the originals until test-fitted.</t>
  </si>
  <si>
    <t xml:space="preserve">BH10X1.25X150CLZ</t>
  </si>
  <si>
    <t xml:space="preserve">DIN 17mm head. Same caveat.</t>
  </si>
  <si>
    <t xml:space="preserve">FLANGE HEX — hidden light duty (A2 stainless)</t>
  </si>
  <si>
    <t xml:space="preserve">M6 JIS flange bolt</t>
  </si>
  <si>
    <t xml:space="preserve">M6x1.0 x 8mm</t>
  </si>
  <si>
    <t xml:space="preserve">A2 stainless</t>
  </si>
  <si>
    <t xml:space="preserve">LH passenger peg bracket.</t>
  </si>
  <si>
    <t xml:space="preserve">BF6X8SRSS</t>
  </si>
  <si>
    <t xml:space="preserve">BF6X8SRSS — confirm what SR denotes before ordering; at $0.94 it is 3x the price of neighbouring sizes, which usually signals a special variant.</t>
  </si>
  <si>
    <t xml:space="preserve">M6x1.0 x 12mm</t>
  </si>
  <si>
    <t xml:space="preserve">Battery box, clutch cable guide, brake line clip, tach sensor, RH peg. Cable guide + tach sensor into aluminum — anti-seize.</t>
  </si>
  <si>
    <t xml:space="preserve">BF6X12SS</t>
  </si>
  <si>
    <t xml:space="preserve">M6x1.0 x 14mm</t>
  </si>
  <si>
    <t xml:space="preserve">Harness clip, timing advancer, lock cylinder, LH peg, electrical misc, helmet lock. Advancer into aluminum — anti-seize.</t>
  </si>
  <si>
    <t xml:space="preserve">BFD6X14CLZ</t>
  </si>
  <si>
    <t xml:space="preserve">CHECK THIS ONE. BFD = SERRATED flange (DIN 6921) — the underside has teeth that BITE the mating surface. Great anti-vibration, but it will scar paint, plating and soft aluminum. Timing advancer and helmet lock are exactly where that matters. It is also CLZ zinc, not stainless, breaking the run in this group. Prefer plain BF6X14SS if stocked; if not, ask BelMetric, or use serrated only on the harness clip and bare brackets.</t>
  </si>
  <si>
    <t xml:space="preserve">M6x1.0 x 16mm</t>
  </si>
  <si>
    <t xml:space="preserve">Belt guard, horn, harness guide, rear brake switch, rear inner fender.</t>
  </si>
  <si>
    <t xml:space="preserve">BF6X16SS</t>
  </si>
  <si>
    <t xml:space="preserve">M6x1.0 x 20mm</t>
  </si>
  <si>
    <t xml:space="preserve">Chain tensioner (3) + fuel valve (2). NOTE: your originals here were ALREADY flanged, so this restores OEM rather than deviating from it.</t>
  </si>
  <si>
    <t xml:space="preserve">BF6X20SS</t>
  </si>
  <si>
    <t xml:space="preserve">M6x1.0 x 25mm</t>
  </si>
  <si>
    <t xml:space="preserve">Battery box (3), rear fender bracket (2), rear fender through-bolts (2). Through-bolts pair with M6 all-metal locknuts.</t>
  </si>
  <si>
    <t xml:space="preserve">BF6X25FSS</t>
  </si>
  <si>
    <t xml:space="preserve">Front fender. Flange replaces the flat + split washer stack.</t>
  </si>
  <si>
    <t xml:space="preserve">BF8X16SS</t>
  </si>
  <si>
    <t xml:space="preserve">BUTTON HEAD — visible covers and trim (A2 stainless)</t>
  </si>
  <si>
    <t xml:space="preserve">M4 button head</t>
  </si>
  <si>
    <t xml:space="preserve">M4x0.7 x 10mm</t>
  </si>
  <si>
    <t xml:space="preserve">Button head hex</t>
  </si>
  <si>
    <t xml:space="preserve">2.5mm hex</t>
  </si>
  <si>
    <t xml:space="preserve">Front badge — hidden under the badge, so nothing special needed. Kept button head only because it's the cheapest small screw you're already ordering.</t>
  </si>
  <si>
    <t xml:space="preserve">SB4X10SS</t>
  </si>
  <si>
    <t xml:space="preserve">M5 button head</t>
  </si>
  <si>
    <t xml:space="preserve">M5x0.8 x 10mm</t>
  </si>
  <si>
    <t xml:space="preserve">3mm hex</t>
  </si>
  <si>
    <t xml:space="preserve">Coil cap.</t>
  </si>
  <si>
    <t xml:space="preserve">SB5X10SS</t>
  </si>
  <si>
    <t xml:space="preserve">M5x0.8 x 12mm</t>
  </si>
  <si>
    <t xml:space="preserve">Gas door. Very visible.</t>
  </si>
  <si>
    <t xml:space="preserve">SB5X12SS</t>
  </si>
  <si>
    <t xml:space="preserve">M5x0.8 x 16mm</t>
  </si>
  <si>
    <t xml:space="preserve">Front turn signals.</t>
  </si>
  <si>
    <t xml:space="preserve">SB5X16SS</t>
  </si>
  <si>
    <t xml:space="preserve">M5x0.8 x 20mm</t>
  </si>
  <si>
    <t xml:space="preserve">Headlight.</t>
  </si>
  <si>
    <t xml:space="preserve">SB5X20SS</t>
  </si>
  <si>
    <t xml:space="preserve">M6 button head</t>
  </si>
  <si>
    <t xml:space="preserve">4mm hex</t>
  </si>
  <si>
    <t xml:space="preserve">Ignition points plate. Button head kept here for its LOW PROFILE — a flange head may not clear the advancer.</t>
  </si>
  <si>
    <t xml:space="preserve">SB6X8SS</t>
  </si>
  <si>
    <t xml:space="preserve">M6x1.0 x 18mm</t>
  </si>
  <si>
    <t xml:space="preserve">Carb intake boots. Into the aluminum head — anti-seize. Blind hole: do NOT substitute 20mm without checking.</t>
  </si>
  <si>
    <t xml:space="preserve">SB6X18SS</t>
  </si>
  <si>
    <t xml:space="preserve">Breather cap (4) + ignition cover (2).</t>
  </si>
  <si>
    <t xml:space="preserve">SB6X25SS</t>
  </si>
  <si>
    <t xml:space="preserve">M6x1.0 x 30mm</t>
  </si>
  <si>
    <t xml:space="preserve">THE CENTREPIECE. RH engine cover (12), LH engine cover (5), turn signals (4). ISO 7380 M6 head is 10.5mm — exactly the head dia you measured. Anti-seize every one.</t>
  </si>
  <si>
    <t xml:space="preserve">SB6X30SS</t>
  </si>
  <si>
    <t xml:space="preserve">M6x1.0 x 35mm</t>
  </si>
  <si>
    <t xml:space="preserve">Front sprocket cover.</t>
  </si>
  <si>
    <t xml:space="preserve">SB6X35SS</t>
  </si>
  <si>
    <t xml:space="preserve">M6x1.0 x 40mm</t>
  </si>
  <si>
    <t xml:space="preserve">LH + RH engine cover. Anti-seize.</t>
  </si>
  <si>
    <t xml:space="preserve">SB6X40SS</t>
  </si>
  <si>
    <t xml:space="preserve">M6x1.0 x 45mm</t>
  </si>
  <si>
    <t xml:space="preserve">Coils (4) + front sprocket cover (2).</t>
  </si>
  <si>
    <t xml:space="preserve">SB6X45SS</t>
  </si>
  <si>
    <t xml:space="preserve">M6x1.0 x 50mm</t>
  </si>
  <si>
    <t xml:space="preserve">Cam cover. Anti-seize into the aluminum head.</t>
  </si>
  <si>
    <t xml:space="preserve">SB6X50SS</t>
  </si>
  <si>
    <t xml:space="preserve">M6x1.0 x 55mm</t>
  </si>
  <si>
    <t xml:space="preserve">LH engine cover. Non-preferred length — if unavailable drop to 50mm and check engagement, do NOT go to 60mm.</t>
  </si>
  <si>
    <t xml:space="preserve">SB6X55SS</t>
  </si>
  <si>
    <t xml:space="preserve">M8 button head</t>
  </si>
  <si>
    <t xml:space="preserve">5mm hex</t>
  </si>
  <si>
    <t xml:space="preserve">Cam cover. Anti-seize.</t>
  </si>
  <si>
    <t xml:space="preserve">SB8X50SS</t>
  </si>
  <si>
    <t xml:space="preserve">M8x1.25 x 60mm</t>
  </si>
  <si>
    <t xml:space="preserve">SB8X60SS</t>
  </si>
  <si>
    <t xml:space="preserve">M6 flat head socket</t>
  </si>
  <si>
    <t xml:space="preserve">Flat head socket</t>
  </si>
  <si>
    <t xml:space="preserve">RH helmet lock — countersunk. Not a sealing joint.</t>
  </si>
  <si>
    <t xml:space="preserve">SF6X18SS</t>
  </si>
  <si>
    <t xml:space="preserve">Nuts</t>
  </si>
  <si>
    <t xml:space="preserve">M5 acorn nut (DIN 1587)</t>
  </si>
  <si>
    <t xml:space="preserve">M5x0.8</t>
  </si>
  <si>
    <t xml:space="preserve">Acorn</t>
  </si>
  <si>
    <t xml:space="preserve">8mm</t>
  </si>
  <si>
    <t xml:space="preserve">Gauges.</t>
  </si>
  <si>
    <t xml:space="preserve">NA5SS</t>
  </si>
  <si>
    <t xml:space="preserve">M6 hex nut</t>
  </si>
  <si>
    <t xml:space="preserve">M6x1.0</t>
  </si>
  <si>
    <t xml:space="preserve">Hex</t>
  </si>
  <si>
    <t xml:space="preserve">Coils, dash support.</t>
  </si>
  <si>
    <t xml:space="preserve">NR6SS</t>
  </si>
  <si>
    <t xml:space="preserve">M6 all-metal locknut (DIN 980V)</t>
  </si>
  <si>
    <t xml:space="preserve">Class 8 zinc</t>
  </si>
  <si>
    <t xml:space="preserve">All-metal lock</t>
  </si>
  <si>
    <t xml:space="preserve">Coils (2), center stand (2), rear fender through-bolts (2). ZINC STEEL, NOT STAINLESS — all-metal locknuts gall in stainless.</t>
  </si>
  <si>
    <t xml:space="preserve">NCLH6CLZ</t>
  </si>
  <si>
    <t xml:space="preserve">M6 flange nut</t>
  </si>
  <si>
    <t xml:space="preserve">Flange</t>
  </si>
  <si>
    <t xml:space="preserve">Battery box, turn signals, inner fender. NOT the exhaust ones.</t>
  </si>
  <si>
    <t xml:space="preserve">NFF6SS</t>
  </si>
  <si>
    <t xml:space="preserve">M8 hex nut</t>
  </si>
  <si>
    <t xml:space="preserve">M8x1.25</t>
  </si>
  <si>
    <t xml:space="preserve">12mm JIS</t>
  </si>
  <si>
    <t xml:space="preserve">NR8SS</t>
  </si>
  <si>
    <t xml:space="preserve">M8 all-metal locknut (DIN 980V)</t>
  </si>
  <si>
    <t xml:space="preserve">13mm</t>
  </si>
  <si>
    <t xml:space="preserve">Front (2) + upper (2) engine mount.</t>
  </si>
  <si>
    <t xml:space="preserve">NCLH8CLZ</t>
  </si>
  <si>
    <t xml:space="preserve">M10 all-metal locknut (DIN 980V)</t>
  </si>
  <si>
    <t xml:space="preserve">M10x1.25</t>
  </si>
  <si>
    <t xml:space="preserve">Engine mounts (4), triple clamp (2), passenger pegs (2). FINE PITCH — check the listing.</t>
  </si>
  <si>
    <t xml:space="preserve">NCLH10X1.25CLZ</t>
  </si>
  <si>
    <t xml:space="preserve">Washers — REDUCED, flange bolts have integral washers</t>
  </si>
  <si>
    <t xml:space="preserve">M4 flat washer</t>
  </si>
  <si>
    <t xml:space="preserve">M4, 9mm OD</t>
  </si>
  <si>
    <t xml:space="preserve">-</t>
  </si>
  <si>
    <t xml:space="preserve">Front badge.</t>
  </si>
  <si>
    <t xml:space="preserve">M5 flat washer</t>
  </si>
  <si>
    <t xml:space="preserve">M5, 10mm OD</t>
  </si>
  <si>
    <t xml:space="preserve">Headlight, gas door, turn signals.</t>
  </si>
  <si>
    <t xml:space="preserve">M5 split washer</t>
  </si>
  <si>
    <t xml:space="preserve">M5</t>
  </si>
  <si>
    <t xml:space="preserve">See split-washer note on the Notes tab.</t>
  </si>
  <si>
    <t xml:space="preserve">M5 fender washer</t>
  </si>
  <si>
    <t xml:space="preserve">M5, 18mm OD</t>
  </si>
  <si>
    <t xml:space="preserve">M6 flat washer</t>
  </si>
  <si>
    <t xml:space="preserve">M6, 12mm OD</t>
  </si>
  <si>
    <t xml:space="preserve">WAS 50. Cut hard because ~30 M6 locations moved to flange bolts, which carry their own bearing face. Remaining are the button-head cover screws.</t>
  </si>
  <si>
    <t xml:space="preserve">M6 split washer</t>
  </si>
  <si>
    <t xml:space="preserve">M6</t>
  </si>
  <si>
    <t xml:space="preserve">WAS 50. Same reason. Read the split-washer note before buying even these.</t>
  </si>
  <si>
    <t xml:space="preserve">M6 fender washer</t>
  </si>
  <si>
    <t xml:space="preserve">M6, 18mm OD</t>
  </si>
  <si>
    <t xml:space="preserve">Rear fender through-bolts (4) plus spares.</t>
  </si>
  <si>
    <t xml:space="preserve">M8 flat washer</t>
  </si>
  <si>
    <t xml:space="preserve">M8, 16mm OD</t>
  </si>
  <si>
    <t xml:space="preserve">WAS 25. Cam cover and gauges only now.</t>
  </si>
  <si>
    <t xml:space="preserve">M8 split washer</t>
  </si>
  <si>
    <t xml:space="preserve">M8</t>
  </si>
  <si>
    <t xml:space="preserve">WAS 25.</t>
  </si>
  <si>
    <t xml:space="preserve">M10 flat washer</t>
  </si>
  <si>
    <t xml:space="preserve">M10, 20mm OD</t>
  </si>
  <si>
    <t xml:space="preserve">WAS 10.</t>
  </si>
  <si>
    <t xml:space="preserve">M10 split washer</t>
  </si>
  <si>
    <t xml:space="preserve">M10</t>
  </si>
  <si>
    <t xml:space="preserve">WAS 15. Under the long engine mount nuts. Match the steel.</t>
  </si>
  <si>
    <t xml:space="preserve">M12 split washer</t>
  </si>
  <si>
    <t xml:space="preserve">M12</t>
  </si>
  <si>
    <t xml:space="preserve">WAS 5. Footpegs went flange, so these are spares only.</t>
  </si>
  <si>
    <t xml:space="preserve">Other</t>
  </si>
  <si>
    <t xml:space="preserve">Unthreaded round spacer</t>
  </si>
  <si>
    <t xml:space="preserve">20mm long, 6.5 ID x 10 OD</t>
  </si>
  <si>
    <t xml:space="preserve">Coil pack standoffs.</t>
  </si>
  <si>
    <t xml:space="preserve">Cotter pin assortment</t>
  </si>
  <si>
    <t xml:space="preserve">3mm and 3.2mm</t>
  </si>
  <si>
    <t xml:space="preserve">2 required: center stand (3mm) and rear brake torque link (3.2mm). Single-use.</t>
  </si>
  <si>
    <t xml:space="preserve">O-ring, Buna-N 70 duro</t>
  </si>
  <si>
    <t xml:space="preserve">6.0mm ID x 1.5mm CS</t>
  </si>
  <si>
    <t xml:space="preserve">Buna-N</t>
  </si>
  <si>
    <t xml:space="preserve">ALTERNATOR COVER, sized to the DIN screw's 6.0mm shank. 30% squeeze in the 1.05mm gap. Oil on assembly.</t>
  </si>
  <si>
    <t xml:space="preserve">O-ring, Buna-N 70 duro — AS568-009</t>
  </si>
  <si>
    <t xml:space="preserve">5.28mm ID x 1.78mm CS</t>
  </si>
  <si>
    <t xml:space="preserve">CONTINGENCY for the OEM 5.3mm shank only, if you end up reusing the originals. 21% squeeze.</t>
  </si>
  <si>
    <t xml:space="preserve">Nylon or fiber washer</t>
  </si>
  <si>
    <t xml:space="preserve">Nylon 6/6</t>
  </si>
  <si>
    <t xml:space="preserve">FUEL PETCOCK. Never metal.</t>
  </si>
  <si>
    <t xml:space="preserve">Marine or nickel anti-seize</t>
  </si>
  <si>
    <t xml:space="preserve">small tube</t>
  </si>
  <si>
    <t xml:space="preserve">NOT OPTIONAL. Every stainless fastener into aluminum. That is most of this order.</t>
  </si>
  <si>
    <t xml:space="preserve">Source separately</t>
  </si>
  <si>
    <t xml:space="preserve">M6 countersunk socket, PARTIAL THREAD</t>
  </si>
  <si>
    <t xml:space="preserve">M6x1.0 x 30mm DIN 7991, cut to ~24mm</t>
  </si>
  <si>
    <t xml:space="preserve">Flat head</t>
  </si>
  <si>
    <t xml:space="preserve">T30 torx</t>
  </si>
  <si>
    <t xml:space="preserve">Fastener supplier</t>
  </si>
  <si>
    <t xml:space="preserve">ALTERNATOR COVER. Verify PARTIAL thread, not full — full thread puts the o-ring on thread crests. Cut ~6mm off the TIP; shank is at the head end and untouched.</t>
  </si>
  <si>
    <t xml:space="preserve">M10 castellated nut (DIN 935) FINE</t>
  </si>
  <si>
    <t xml:space="preserve">Castle</t>
  </si>
  <si>
    <t xml:space="preserve">Fastenal 11508279 / Fuller</t>
  </si>
  <si>
    <t xml:space="preserve">REAR BRAKE TORQUE LINK. MUST be fine pitch; most castle stock is coarse M10x1.5. Takes a 3.2mm cotter pin.</t>
  </si>
  <si>
    <t xml:space="preserve">M6 flange nut, copper-plated</t>
  </si>
  <si>
    <t xml:space="preserve">Copper-plated steel</t>
  </si>
  <si>
    <t xml:space="preserve">Exhaust supplier</t>
  </si>
  <si>
    <t xml:space="preserve">EXHAUST. Not stainless (galls hot), not nyloc (insert melts).</t>
  </si>
  <si>
    <t xml:space="preserve">M8 hex nut, copper-plated</t>
  </si>
  <si>
    <t xml:space="preserve">EXHAUST.</t>
  </si>
  <si>
    <t xml:space="preserve">Front caliper bolt, flanged</t>
  </si>
  <si>
    <t xml:space="preserve">M10x1.25 x 44mm (24mm thd)</t>
  </si>
  <si>
    <t xml:space="preserve">OEM</t>
  </si>
  <si>
    <t xml:space="preserve">Flanged hex</t>
  </si>
  <si>
    <t xml:space="preserve">OEM Kawasaki</t>
  </si>
  <si>
    <t xml:space="preserve">SAFETY CRITICAL. 44mm is not a stock length. Don't approximate.</t>
  </si>
  <si>
    <t xml:space="preserve">Rear sprocket nuts</t>
  </si>
  <si>
    <t xml:space="preserve">Specific self-locking design.</t>
  </si>
  <si>
    <t xml:space="preserve">Headlight bolt, chrome</t>
  </si>
  <si>
    <t xml:space="preserve">M10x1.25 x 34mm</t>
  </si>
  <si>
    <t xml:space="preserve">Chrome / polished SS</t>
  </si>
  <si>
    <t xml:space="preserve">Plater / moto supplier</t>
  </si>
  <si>
    <t xml:space="preserve">34mm non-standard; 35mm closest.</t>
  </si>
  <si>
    <t xml:space="preserve">M10 acorn nut, chrome</t>
  </si>
  <si>
    <t xml:space="preserve">Rear shocks.</t>
  </si>
  <si>
    <t xml:space="preserve">Chrome fender washer</t>
  </si>
  <si>
    <t xml:space="preserve">M10 ID, 38mm OD</t>
  </si>
  <si>
    <t xml:space="preserve">Not ordering</t>
  </si>
  <si>
    <t xml:space="preserve">Cylinder head stud acorn nuts</t>
  </si>
  <si>
    <t xml:space="preserve">Factory</t>
  </si>
  <si>
    <t xml:space="preserve">Reusing</t>
  </si>
  <si>
    <t xml:space="preserve">Inspected good. Chase stud threads and check seating faces at assembly.</t>
  </si>
  <si>
    <t xml:space="preserve">Rear sprocket square-head bolts</t>
  </si>
  <si>
    <t xml:space="preserve">M10x1.25 x 55mm</t>
  </si>
  <si>
    <t xml:space="preserve">14mm sq</t>
  </si>
  <si>
    <t xml:space="preserve">Worth a second look given what they hold on.</t>
  </si>
  <si>
    <t xml:space="preserve">Rear brake torque link bolt</t>
  </si>
  <si>
    <t xml:space="preserve">M10x1.25 x 45mm, drilled</t>
  </si>
  <si>
    <t xml:space="preserve">Factory / OEM</t>
  </si>
  <si>
    <t xml:space="preserve">Reusing or OEM</t>
  </si>
  <si>
    <t xml:space="preserve">Reuse if sound. Clean the cotter hole out. Pairs with the new castle nut.</t>
  </si>
  <si>
    <t xml:space="preserve">TOTAL PIECES</t>
  </si>
  <si>
    <t xml:space="preserve">PRICED SUBTOTAL (BelMetric lines entered so far)</t>
  </si>
  <si>
    <t xml:space="preserve">Not yet priced: all washers, spacers, cotter pins, o-rings, petcock washer, anti-seize, plus the 9 source-separately lines (cover screws, castle nut, exhaust nuts, OEM, chrome).</t>
  </si>
  <si>
    <t xml:space="preserve">Measurements</t>
  </si>
  <si>
    <t xml:space="preserve">Two NEW items at the bottom came out of the switch to flange bolts. Everything else is closed.</t>
  </si>
  <si>
    <t xml:space="preserve">Answer</t>
  </si>
  <si>
    <t xml:space="preserve">Detail</t>
  </si>
  <si>
    <t xml:space="preserve">Alternator cover — cone max dia</t>
  </si>
  <si>
    <t xml:space="preserve">13.06 mm</t>
  </si>
  <si>
    <t xml:space="preserve">DONE. DIN 7991 M6 head is 12mm actual, so it sits ~0.5mm recessed. Fine.</t>
  </si>
  <si>
    <t xml:space="preserve">Alternator cover — o-ring bore ID</t>
  </si>
  <si>
    <t xml:space="preserve">8.1 mm</t>
  </si>
  <si>
    <t xml:space="preserve">DONE. With the DIN screw's 6.0mm shank the gap is 1.05mm radial.</t>
  </si>
  <si>
    <t xml:space="preserve">Alternator cover — o-ring bore depth</t>
  </si>
  <si>
    <t xml:space="preserve">3-5 mm</t>
  </si>
  <si>
    <t xml:space="preserve">DONE. Deep enough that the seal is radial, not axial.</t>
  </si>
  <si>
    <t xml:space="preserve">Alternator cover — OEM shank length</t>
  </si>
  <si>
    <t xml:space="preserve">~5.5 mm</t>
  </si>
  <si>
    <t xml:space="preserve">DONE. Confirms a radial seal on a smooth shank.</t>
  </si>
  <si>
    <t xml:space="preserve">Alternator cover — OEM shank diameter</t>
  </si>
  <si>
    <t xml:space="preserve">5.3 mm</t>
  </si>
  <si>
    <t xml:space="preserve">DONE. M6 pitch diameter — a reduced shank.</t>
  </si>
  <si>
    <t xml:space="preserve">Alternator cover — depth to thread start</t>
  </si>
  <si>
    <t xml:space="preserve">~12 mm</t>
  </si>
  <si>
    <t xml:space="preserve">DONE. The 8.7mm DIN shank clears with ~3mm spare and engaged thread is unchanged.</t>
  </si>
  <si>
    <t xml:space="preserve">Alternator cover — rotor clearance</t>
  </si>
  <si>
    <t xml:space="preserve">clears fine</t>
  </si>
  <si>
    <t xml:space="preserve">DONE. Cut the screw for tidiness only.</t>
  </si>
  <si>
    <t xml:space="preserve">Rear fender / battery box — stack</t>
  </si>
  <si>
    <t xml:space="preserve">25mm works</t>
  </si>
  <si>
    <t xml:space="preserve">DONE. Deleted the awkward 22mm SKU.</t>
  </si>
  <si>
    <t xml:space="preserve">M10x150 — clearance behind nut</t>
  </si>
  <si>
    <t xml:space="preserve">5mm spare</t>
  </si>
  <si>
    <t xml:space="preserve">DONE.</t>
  </si>
  <si>
    <t xml:space="preserve">M8 head clearance</t>
  </si>
  <si>
    <t xml:space="preserve">clear at 13mm</t>
  </si>
  <si>
    <t xml:space="preserve">DONE — and now MOOT for most M8s, which moved to JIS flange bolts with the original 12mm head.</t>
  </si>
  <si>
    <t xml:space="preserve">M12 footpeg head clearance</t>
  </si>
  <si>
    <t xml:space="preserve">clear at 19mm</t>
  </si>
  <si>
    <t xml:space="preserve">DONE — and now MOOT, the footpeg bolts moved to JIS flange at the original 17mm.</t>
  </si>
  <si>
    <t xml:space="preserve">M10 head clearance</t>
  </si>
  <si>
    <t xml:space="preserve">assumed clear</t>
  </si>
  <si>
    <t xml:space="preserve">MOSTLY RETIRED. The 4x M10x35 moved to JIS flange bolts at the original 14mm head, so rear shock and triple clamp are no longer a risk. RESIDUAL: the four long engine mount bolts (70/110/130/150mm) are too long to exist as flange bolts and keep the 17mm DIN head. Keep the originals until those four are test-fitted.</t>
  </si>
  <si>
    <t xml:space="preserve">Triple clamp + upper mount — FLANGE CLEARANCE</t>
  </si>
  <si>
    <t xml:space="preserve">NEW. Flange bolts have a wider bearing face than a plain hex head. Check the flange seats flat on the triple clamp and the upper engine mount rather than fouling a raised boss or a radius. If it fouls, order plain JIS hex for that line instead.</t>
  </si>
  <si>
    <t xml:space="preserve">Upper engine mount M8x50 — thread length</t>
  </si>
  <si>
    <t xml:space="preserve">NEW. Your original is partial thread (22mm). JIS flange bolts are often fully threaded. If BelMetric's is full thread, decide whether this joint tolerates it or fall back to DIN 931 partial from McMaster.</t>
  </si>
  <si>
    <t xml:space="preserve">Standing Notes</t>
  </si>
  <si>
    <t xml:space="preserve">Topic</t>
  </si>
  <si>
    <t xml:space="preserve">Why this list moved off McMaster</t>
  </si>
  <si>
    <t xml:space="preserve">McMaster prices are fine but the pack quantities are not: they sell small fasteners in 25/50/100 packs and this job needs 4 to 17 of each. Buying ~20 button-head SKUs that way was the whole $300+ problem, and it was pack size doing it, not head style. BelMetric sells per piece (their stainless M10 JIS flange bolt lists at $5.47 each, no minimum), so you pay for what you use. Lines still marked McMaster are ones where pack size doesn't bite or BelMetric doesn't carry the item.</t>
  </si>
  <si>
    <t xml:space="preserve">The real prize: JIS flange bolts</t>
  </si>
  <si>
    <t xml:space="preserve">BelMetric stocks JIS B1189 flange bolts in JIS wrench sizes — M6/10mm, M8/12mm, M10x1.25/14mm, M12x1.25/17mm — in both A2 stainless and class 10.9. That is the same across-flats your bike came with, which RETIRES the DIN head-growth problem everywhere they're used. It is the single biggest technical improvement in this revision, and it came out of a cost question.</t>
  </si>
  <si>
    <t xml:space="preserve">Flange bolts delete washers</t>
  </si>
  <si>
    <t xml:space="preserve">A flange bolt carries its own bearing face, so it replaces a flat washer and usually the split washer too. That is why the washer lines dropped hard: M6 flat 50 to 22, M6 split 50 to 20, M8 flat 25 to 12, M8 split 25 to 12. Fewer parts, faster assembly, and no washer digging into a polished cover.</t>
  </si>
  <si>
    <t xml:space="preserve">Where button head was kept, and why</t>
  </si>
  <si>
    <t xml:space="preserve">Only where it is seen or where profile matters: engine covers, cam cover, sprocket cover, coils, gas door, headlight, turn signals. Plus the ignition points plate, where a low head may be needed to clear the advancer. Everything hidden or structural went flange.</t>
  </si>
  <si>
    <t xml:space="preserve">Anti-seize on every stainless fastener into aluminum</t>
  </si>
  <si>
    <t xml:space="preserve">Galvanic corrosion plus thread galling. Engine covers, cam cover, cases, head, carb boots, tach sensor, timing advancer, chain tensioner. This is most of the order and it is not optional.</t>
  </si>
  <si>
    <t xml:space="preserve">Locking nuts are all-metal, and NOT stainless</t>
  </si>
  <si>
    <t xml:space="preserve">Your OEM locking nuts use a spring-steel element (DIN 980M pattern); the stocked modern equivalent is DIN 980V. Buy them in zinc-plated class 8 steel. An all-metal locknut works by forcing metal-on-metal interference, which is exactly what makes stainless cold-weld to itself — a stainless 980V on a stainless bolt will gall and wreck the bolt coming off.</t>
  </si>
  <si>
    <t xml:space="preserve">Fine vs coarse pitch</t>
  </si>
  <si>
    <t xml:space="preserve">This bike is fine pitch on M10 and M12 and most default stock is coarse. The JIS flange range is natively fine so the trap disappears there, but it still applies to the long M10 engine mount bolts and the castle nut.</t>
  </si>
  <si>
    <t xml:space="preserve">Partial thread is a spec</t>
  </si>
  <si>
    <t xml:space="preserve">The long engine mount bolts, the center stand pivot and the torque link bolt all need an unthreaded shank at the shear plane. DIN 931, not DIN 933. This is the main reason those lines could not move to flange bolts.</t>
  </si>
  <si>
    <t xml:space="preserve">Split washers</t>
  </si>
  <si>
    <t xml:space="preserve">Now down to ~68 pieces from 145 because flange bolts absorbed most of them. Worth remembering that split lock washers largely flatten once a joint is torqued and contribute little locking on their own. Keeping them where the factory had them is defensible; deleting them on non-structural joints in favour of a flat washer and threadlocker is also defensible.</t>
  </si>
  <si>
    <t xml:space="preserve">McMaster API</t>
  </si>
  <si>
    <t xml:space="preserve">Not usable here. It requires prior approval from McMaster, a client certificate with password attached to every request, and account credentials — you'd have to go through eprocurement@mcmaster.com. There is no public endpoint to query, so every price and pack size in this project has to come from the website or a phone call.</t>
  </si>
  <si>
    <t xml:space="preserve">Consolidation — what was and wasn't safe</t>
  </si>
  <si>
    <t xml:space="preserve">You asked for merging only where clearly safe. Done: battery box and rear fender bracket folded into M6x25, which deleted the 22mm SKU entirely. NOT done, deliberately: M6 12/14, 16/18, and 35/40 all involve blind holes in aluminum where a few mm longer either bottoms or loses engagement, and 45/50/55 are cover screws in blind holes. Merging those needs a depth measurement per hole, which is a bigger job than the saving justifies now that you're buying per piece.</t>
  </si>
</sst>
</file>

<file path=xl/styles.xml><?xml version="1.0" encoding="utf-8"?>
<styleSheet xmlns="http://schemas.openxmlformats.org/spreadsheetml/2006/main">
  <numFmts count="4">
    <numFmt numFmtId="164" formatCode="General"/>
    <numFmt numFmtId="165" formatCode="_(\$* #,##0.00_);_(\$* \(#,##0.00\);_(\$* \-??_);_(@_)"/>
    <numFmt numFmtId="166" formatCode="\$#,##0.00"/>
    <numFmt numFmtId="167" formatCode="\$#,##0.00"/>
  </numFmts>
  <fonts count="15">
    <font>
      <sz val="11"/>
      <color theme="1"/>
      <name val="Calibri"/>
      <family val="2"/>
      <charset val="1"/>
    </font>
    <font>
      <sz val="10"/>
      <name val="Arial"/>
      <family val="0"/>
    </font>
    <font>
      <sz val="10"/>
      <name val="Arial"/>
      <family val="0"/>
    </font>
    <font>
      <sz val="10"/>
      <name val="Arial"/>
      <family val="0"/>
    </font>
    <font>
      <sz val="10"/>
      <name val="Arial"/>
      <family val="2"/>
      <charset val="1"/>
    </font>
    <font>
      <b val="true"/>
      <sz val="14"/>
      <color rgb="FF1F3A5F"/>
      <name val="Arial"/>
      <family val="2"/>
      <charset val="1"/>
    </font>
    <font>
      <i val="true"/>
      <sz val="10"/>
      <color rgb="FF555555"/>
      <name val="Arial"/>
      <family val="2"/>
      <charset val="1"/>
    </font>
    <font>
      <b val="true"/>
      <sz val="10"/>
      <color rgb="FFFFFFFF"/>
      <name val="Arial"/>
      <family val="2"/>
      <charset val="1"/>
    </font>
    <font>
      <b val="true"/>
      <sz val="10"/>
      <color rgb="FFFFFFFF"/>
      <name val="Arial"/>
      <family val="0"/>
      <charset val="1"/>
    </font>
    <font>
      <b val="true"/>
      <sz val="10"/>
      <name val="Arial"/>
      <family val="2"/>
      <charset val="1"/>
    </font>
    <font>
      <sz val="10"/>
      <name val="Arial"/>
      <family val="0"/>
      <charset val="1"/>
    </font>
    <font>
      <b val="true"/>
      <sz val="10"/>
      <color rgb="FF9C2A2A"/>
      <name val="Arial"/>
      <family val="0"/>
      <charset val="1"/>
    </font>
    <font>
      <sz val="10"/>
      <color rgb="FF1F5F3A"/>
      <name val="Arial"/>
      <family val="0"/>
      <charset val="1"/>
    </font>
    <font>
      <b val="true"/>
      <sz val="10"/>
      <name val="Arial"/>
      <family val="0"/>
      <charset val="1"/>
    </font>
    <font>
      <i val="true"/>
      <sz val="10"/>
      <color rgb="FF555555"/>
      <name val="Arial"/>
      <family val="0"/>
      <charset val="1"/>
    </font>
  </fonts>
  <fills count="11">
    <fill>
      <patternFill patternType="none"/>
    </fill>
    <fill>
      <patternFill patternType="gray125"/>
    </fill>
    <fill>
      <patternFill patternType="solid">
        <fgColor rgb="FF1F3A5F"/>
        <bgColor rgb="FF333399"/>
      </patternFill>
    </fill>
    <fill>
      <patternFill patternType="solid">
        <fgColor rgb="FFD9E1F2"/>
        <bgColor rgb="FFE4E7FC"/>
      </patternFill>
    </fill>
    <fill>
      <patternFill patternType="solid">
        <fgColor rgb="FFE8F1E8"/>
        <bgColor rgb="FFE3F0E3"/>
      </patternFill>
    </fill>
    <fill>
      <patternFill patternType="solid">
        <fgColor rgb="FFFCE4E4"/>
        <bgColor rgb="FFFFF3D6"/>
      </patternFill>
    </fill>
    <fill>
      <patternFill patternType="solid">
        <fgColor rgb="FFE3F0E3"/>
        <bgColor rgb="FFE8F1E8"/>
      </patternFill>
    </fill>
    <fill>
      <patternFill patternType="solid">
        <fgColor rgb="FFFFFFFF"/>
        <bgColor rgb="FFFFF3D6"/>
      </patternFill>
    </fill>
    <fill>
      <patternFill patternType="solid">
        <fgColor rgb="FFFFF3D6"/>
        <bgColor rgb="FFFCE4E4"/>
      </patternFill>
    </fill>
    <fill>
      <patternFill patternType="solid">
        <fgColor rgb="FFE4E7FC"/>
        <bgColor rgb="FFD9E1F2"/>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165" fontId="4" fillId="0" borderId="0" applyFont="true" applyBorder="true" applyAlignment="true" applyProtection="true">
      <alignment horizontal="general" vertical="bottom" textRotation="0" wrapText="false" indent="0" shrinkToFit="false"/>
      <protection locked="true" hidden="false"/>
    </xf>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6" fontId="4" fillId="0" borderId="0" xfId="17"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8" fillId="2" borderId="1" xfId="0" applyFont="true" applyBorder="true" applyAlignment="true" applyProtection="false">
      <alignment horizontal="general" vertical="center" textRotation="0" wrapText="true" indent="0" shrinkToFit="false"/>
      <protection locked="true" hidden="false"/>
    </xf>
    <xf numFmtId="164" fontId="9" fillId="3" borderId="1" xfId="0" applyFont="true" applyBorder="true" applyAlignment="false" applyProtection="false">
      <alignment horizontal="general" vertical="bottom" textRotation="0" wrapText="false" indent="0" shrinkToFit="false"/>
      <protection locked="true" hidden="false"/>
    </xf>
    <xf numFmtId="164" fontId="0" fillId="3" borderId="1" xfId="0" applyFont="false" applyBorder="true" applyAlignment="false" applyProtection="false">
      <alignment horizontal="general" vertical="bottom" textRotation="0" wrapText="false" indent="0" shrinkToFit="false"/>
      <protection locked="true" hidden="false"/>
    </xf>
    <xf numFmtId="164" fontId="4" fillId="4" borderId="1" xfId="0" applyFont="true" applyBorder="true" applyAlignment="true" applyProtection="false">
      <alignment horizontal="general" vertical="top"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7" fontId="4" fillId="0" borderId="0" xfId="17" applyFont="true" applyBorder="fals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top" textRotation="0" wrapText="true" indent="0" shrinkToFit="false"/>
      <protection locked="true" hidden="false"/>
    </xf>
    <xf numFmtId="164" fontId="4" fillId="5" borderId="1" xfId="0" applyFont="true" applyBorder="true" applyAlignment="true" applyProtection="false">
      <alignment horizontal="general" vertical="top" textRotation="0" wrapText="true" indent="0" shrinkToFit="false"/>
      <protection locked="true" hidden="false"/>
    </xf>
    <xf numFmtId="164" fontId="0" fillId="5" borderId="0" xfId="0" applyFont="true" applyBorder="false" applyAlignment="false" applyProtection="false">
      <alignment horizontal="general" vertical="bottom" textRotation="0" wrapText="false" indent="0" shrinkToFit="false"/>
      <protection locked="true" hidden="false"/>
    </xf>
    <xf numFmtId="167" fontId="4" fillId="5" borderId="0" xfId="17" applyFont="true" applyBorder="false" applyAlignment="false" applyProtection="false">
      <alignment horizontal="general" vertical="bottom" textRotation="0" wrapText="false" indent="0" shrinkToFit="false"/>
      <protection locked="true" hidden="false"/>
    </xf>
    <xf numFmtId="167" fontId="10" fillId="5" borderId="1" xfId="0" applyFont="true" applyBorder="tru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0" fillId="5" borderId="1" xfId="0" applyFont="true" applyBorder="true" applyAlignment="false" applyProtection="false">
      <alignment horizontal="general" vertical="bottom" textRotation="0" wrapText="false" indent="0" shrinkToFit="false"/>
      <protection locked="true" hidden="false"/>
    </xf>
    <xf numFmtId="164" fontId="4" fillId="6" borderId="1" xfId="0" applyFont="true" applyBorder="true" applyAlignment="true" applyProtection="false">
      <alignment horizontal="general" vertical="top"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7" fontId="4" fillId="6" borderId="0" xfId="17" applyFont="true" applyBorder="false" applyAlignment="false" applyProtection="false">
      <alignment horizontal="general" vertical="bottom" textRotation="0" wrapText="false" indent="0" shrinkToFit="false"/>
      <protection locked="true" hidden="false"/>
    </xf>
    <xf numFmtId="167" fontId="10" fillId="6" borderId="1" xfId="0" applyFont="true" applyBorder="true" applyAlignment="false" applyProtection="false">
      <alignment horizontal="general" vertical="bottom" textRotation="0" wrapText="false" indent="0" shrinkToFit="false"/>
      <protection locked="true" hidden="false"/>
    </xf>
    <xf numFmtId="166" fontId="12" fillId="6" borderId="1" xfId="0" applyFont="true" applyBorder="true" applyAlignment="true" applyProtection="false">
      <alignment horizontal="general" vertical="top" textRotation="0" wrapText="true" indent="0" shrinkToFit="false"/>
      <protection locked="true" hidden="false"/>
    </xf>
    <xf numFmtId="164" fontId="4" fillId="7"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7" fontId="0" fillId="5" borderId="0" xfId="0" applyFont="false" applyBorder="fals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4" fontId="4" fillId="8" borderId="1" xfId="0" applyFont="true" applyBorder="true" applyAlignment="true" applyProtection="false">
      <alignment horizontal="general" vertical="top" textRotation="0" wrapText="true" indent="0" shrinkToFit="false"/>
      <protection locked="true" hidden="false"/>
    </xf>
    <xf numFmtId="164" fontId="4" fillId="9"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false" applyProtection="false">
      <alignment horizontal="general" vertical="bottom" textRotation="0" wrapText="false" indent="0" shrinkToFit="false"/>
      <protection locked="true" hidden="false"/>
    </xf>
    <xf numFmtId="167" fontId="13" fillId="0" borderId="1" xfId="0" applyFont="true" applyBorder="tru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4" fillId="1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3D6"/>
      <rgbColor rgb="FFE8F1E8"/>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E4E7FC"/>
      <rgbColor rgb="FFE3F0E3"/>
      <rgbColor rgb="FFFFFF99"/>
      <rgbColor rgb="FF99CCFF"/>
      <rgbColor rgb="FFFF99CC"/>
      <rgbColor rgb="FFCC99FF"/>
      <rgbColor rgb="FFFCE4E4"/>
      <rgbColor rgb="FF3366FF"/>
      <rgbColor rgb="FF33CCCC"/>
      <rgbColor rgb="FF99CC00"/>
      <rgbColor rgb="FFFFCC00"/>
      <rgbColor rgb="FFFF9900"/>
      <rgbColor rgb="FFFF6600"/>
      <rgbColor rgb="FF555555"/>
      <rgbColor rgb="FF969696"/>
      <rgbColor rgb="FF1F3A5F"/>
      <rgbColor rgb="FF339966"/>
      <rgbColor rgb="FF003300"/>
      <rgbColor rgb="FF333300"/>
      <rgbColor rgb="FF9C2A2A"/>
      <rgbColor rgb="FF993366"/>
      <rgbColor rgb="FF333399"/>
      <rgbColor rgb="FF1F5F3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91"/>
  <sheetViews>
    <sheetView showFormulas="false" showGridLines="true" showRowColHeaders="true" showZeros="true" rightToLeft="false" tabSelected="true" showOutlineSymbols="true" defaultGridColor="true" view="normal" topLeftCell="A1" colorId="64" zoomScale="140" zoomScaleNormal="140" zoomScalePageLayoutView="100" workbookViewId="0">
      <pane xSplit="0" ySplit="4" topLeftCell="A10" activePane="bottomLeft" state="frozen"/>
      <selection pane="topLeft" activeCell="A1" activeCellId="0" sqref="A1"/>
      <selection pane="bottomLeft" activeCell="H16" activeCellId="0" sqref="H16"/>
    </sheetView>
  </sheetViews>
  <sheetFormatPr defaultColWidth="8.66796875" defaultRowHeight="15" zeroHeight="false" outlineLevelRow="0" outlineLevelCol="0"/>
  <cols>
    <col collapsed="false" customWidth="true" hidden="false" outlineLevel="0" max="1" min="1" style="0" width="34"/>
    <col collapsed="false" customWidth="true" hidden="false" outlineLevel="0" max="2" min="2" style="0" width="32"/>
    <col collapsed="false" customWidth="true" hidden="false" outlineLevel="0" max="5" min="3" style="0" width="17"/>
    <col collapsed="false" customWidth="true" hidden="false" outlineLevel="0" max="6" min="6" style="0" width="6"/>
    <col collapsed="false" customWidth="true" hidden="false" outlineLevel="0" max="7" min="7" style="0" width="24"/>
    <col collapsed="false" customWidth="true" hidden="false" outlineLevel="0" max="8" min="8" style="0" width="100"/>
    <col collapsed="false" customWidth="true" hidden="false" outlineLevel="0" max="9" min="9" style="0" width="22"/>
    <col collapsed="false" customWidth="true" hidden="false" outlineLevel="0" max="10" min="10" style="1" width="10"/>
    <col collapsed="false" customWidth="true" hidden="false" outlineLevel="0" max="11" min="11" style="0" width="12"/>
    <col collapsed="false" customWidth="true" hidden="false" outlineLevel="0" max="12" min="12" style="2" width="92"/>
  </cols>
  <sheetData>
    <row r="1" customFormat="false" ht="18" hidden="false" customHeight="true" outlineLevel="0" collapsed="false">
      <c r="A1" s="3" t="s">
        <v>0</v>
      </c>
    </row>
    <row r="2" customFormat="false" ht="15" hidden="false" customHeight="false" outlineLevel="0" collapsed="false">
      <c r="A2" s="4" t="s">
        <v>1</v>
      </c>
    </row>
    <row r="4" customFormat="false" ht="27.75" hidden="false" customHeight="true" outlineLevel="0" collapsed="false">
      <c r="A4" s="5" t="s">
        <v>2</v>
      </c>
      <c r="B4" s="5" t="s">
        <v>3</v>
      </c>
      <c r="C4" s="5" t="s">
        <v>4</v>
      </c>
      <c r="D4" s="5" t="s">
        <v>5</v>
      </c>
      <c r="E4" s="5" t="s">
        <v>6</v>
      </c>
      <c r="F4" s="5" t="s">
        <v>7</v>
      </c>
      <c r="G4" s="5" t="s">
        <v>8</v>
      </c>
      <c r="H4" s="5" t="s">
        <v>9</v>
      </c>
      <c r="I4" s="6" t="s">
        <v>10</v>
      </c>
      <c r="J4" s="6" t="s">
        <v>11</v>
      </c>
      <c r="K4" s="6" t="s">
        <v>12</v>
      </c>
      <c r="L4" s="6" t="s">
        <v>13</v>
      </c>
    </row>
    <row r="5" customFormat="false" ht="15" hidden="false" customHeight="false" outlineLevel="0" collapsed="false">
      <c r="A5" s="7" t="s">
        <v>14</v>
      </c>
      <c r="B5" s="8"/>
      <c r="C5" s="8"/>
      <c r="D5" s="8"/>
      <c r="E5" s="8"/>
      <c r="F5" s="8"/>
      <c r="G5" s="8"/>
      <c r="H5" s="8"/>
    </row>
    <row r="6" customFormat="false" ht="15" hidden="false" customHeight="false" outlineLevel="0" collapsed="false">
      <c r="A6" s="9" t="s">
        <v>15</v>
      </c>
      <c r="B6" s="9" t="s">
        <v>16</v>
      </c>
      <c r="C6" s="9" t="s">
        <v>17</v>
      </c>
      <c r="D6" s="9" t="s">
        <v>18</v>
      </c>
      <c r="E6" s="9" t="s">
        <v>19</v>
      </c>
      <c r="F6" s="9" t="n">
        <v>2</v>
      </c>
      <c r="G6" s="9" t="s">
        <v>20</v>
      </c>
      <c r="H6" s="9" t="s">
        <v>21</v>
      </c>
      <c r="I6" s="10" t="s">
        <v>22</v>
      </c>
      <c r="J6" s="11" t="n">
        <v>0.54</v>
      </c>
      <c r="K6" s="12" t="n">
        <f aca="false">F6*J6</f>
        <v>1.08</v>
      </c>
      <c r="L6" s="13"/>
    </row>
    <row r="7" customFormat="false" ht="15" hidden="false" customHeight="false" outlineLevel="0" collapsed="false">
      <c r="A7" s="9" t="s">
        <v>15</v>
      </c>
      <c r="B7" s="9" t="s">
        <v>23</v>
      </c>
      <c r="C7" s="9" t="s">
        <v>17</v>
      </c>
      <c r="D7" s="9" t="s">
        <v>18</v>
      </c>
      <c r="E7" s="9" t="s">
        <v>19</v>
      </c>
      <c r="F7" s="9" t="n">
        <v>2</v>
      </c>
      <c r="G7" s="9" t="s">
        <v>20</v>
      </c>
      <c r="H7" s="9" t="s">
        <v>24</v>
      </c>
      <c r="I7" s="10" t="s">
        <v>25</v>
      </c>
      <c r="J7" s="11" t="n">
        <v>0.6</v>
      </c>
      <c r="K7" s="12" t="n">
        <f aca="false">F7*J7</f>
        <v>1.2</v>
      </c>
      <c r="L7" s="13"/>
    </row>
    <row r="8" customFormat="false" ht="23.85" hidden="false" customHeight="false" outlineLevel="0" collapsed="false">
      <c r="A8" s="14" t="s">
        <v>15</v>
      </c>
      <c r="B8" s="14" t="s">
        <v>26</v>
      </c>
      <c r="C8" s="14" t="s">
        <v>17</v>
      </c>
      <c r="D8" s="14" t="s">
        <v>18</v>
      </c>
      <c r="E8" s="14" t="s">
        <v>19</v>
      </c>
      <c r="F8" s="14" t="n">
        <v>2</v>
      </c>
      <c r="G8" s="14" t="s">
        <v>20</v>
      </c>
      <c r="H8" s="14" t="s">
        <v>27</v>
      </c>
      <c r="I8" s="15" t="s">
        <v>28</v>
      </c>
      <c r="J8" s="16" t="n">
        <v>0.92</v>
      </c>
      <c r="K8" s="17" t="n">
        <f aca="false">F8*J8</f>
        <v>1.84</v>
      </c>
      <c r="L8" s="18" t="s">
        <v>29</v>
      </c>
    </row>
    <row r="9" customFormat="false" ht="27.75" hidden="false" customHeight="true" outlineLevel="0" collapsed="false">
      <c r="A9" s="14" t="s">
        <v>15</v>
      </c>
      <c r="B9" s="14" t="s">
        <v>30</v>
      </c>
      <c r="C9" s="14" t="s">
        <v>17</v>
      </c>
      <c r="D9" s="14" t="s">
        <v>18</v>
      </c>
      <c r="E9" s="14" t="s">
        <v>19</v>
      </c>
      <c r="F9" s="14" t="n">
        <v>2</v>
      </c>
      <c r="G9" s="14" t="s">
        <v>20</v>
      </c>
      <c r="H9" s="14" t="s">
        <v>31</v>
      </c>
      <c r="I9" s="15" t="s">
        <v>32</v>
      </c>
      <c r="J9" s="16" t="s">
        <v>33</v>
      </c>
      <c r="K9" s="19"/>
      <c r="L9" s="18" t="s">
        <v>34</v>
      </c>
    </row>
    <row r="10" customFormat="false" ht="27.75" hidden="false" customHeight="true" outlineLevel="0" collapsed="false">
      <c r="A10" s="9" t="s">
        <v>35</v>
      </c>
      <c r="B10" s="9" t="s">
        <v>36</v>
      </c>
      <c r="C10" s="9" t="s">
        <v>17</v>
      </c>
      <c r="D10" s="9" t="s">
        <v>18</v>
      </c>
      <c r="E10" s="9" t="s">
        <v>37</v>
      </c>
      <c r="F10" s="9" t="n">
        <v>4</v>
      </c>
      <c r="G10" s="9" t="s">
        <v>20</v>
      </c>
      <c r="H10" s="9" t="s">
        <v>38</v>
      </c>
      <c r="I10" s="10" t="s">
        <v>39</v>
      </c>
      <c r="J10" s="11" t="n">
        <v>1.02</v>
      </c>
      <c r="K10" s="12" t="n">
        <f aca="false">F10*J10</f>
        <v>4.08</v>
      </c>
      <c r="L10" s="13"/>
    </row>
    <row r="11" customFormat="false" ht="15" hidden="false" customHeight="false" outlineLevel="0" collapsed="false">
      <c r="A11" s="9" t="s">
        <v>40</v>
      </c>
      <c r="B11" s="9" t="s">
        <v>41</v>
      </c>
      <c r="C11" s="9" t="s">
        <v>17</v>
      </c>
      <c r="D11" s="9" t="s">
        <v>18</v>
      </c>
      <c r="E11" s="9" t="s">
        <v>42</v>
      </c>
      <c r="F11" s="9" t="n">
        <v>2</v>
      </c>
      <c r="G11" s="9" t="s">
        <v>20</v>
      </c>
      <c r="H11" s="9" t="s">
        <v>43</v>
      </c>
      <c r="I11" s="10" t="s">
        <v>44</v>
      </c>
      <c r="J11" s="11" t="n">
        <v>2.4</v>
      </c>
      <c r="K11" s="12" t="n">
        <f aca="false">F11*J11</f>
        <v>4.8</v>
      </c>
      <c r="L11" s="13"/>
    </row>
    <row r="12" customFormat="false" ht="15" hidden="false" customHeight="false" outlineLevel="0" collapsed="false">
      <c r="A12" s="7" t="s">
        <v>45</v>
      </c>
      <c r="B12" s="8"/>
      <c r="C12" s="8"/>
      <c r="D12" s="8"/>
      <c r="E12" s="8"/>
      <c r="F12" s="8"/>
      <c r="G12" s="8"/>
      <c r="H12" s="8"/>
    </row>
    <row r="13" customFormat="false" ht="27.75" hidden="false" customHeight="true" outlineLevel="0" collapsed="false">
      <c r="A13" s="20" t="s">
        <v>46</v>
      </c>
      <c r="B13" s="20" t="s">
        <v>47</v>
      </c>
      <c r="C13" s="20" t="s">
        <v>48</v>
      </c>
      <c r="D13" s="20" t="s">
        <v>49</v>
      </c>
      <c r="E13" s="20" t="s">
        <v>50</v>
      </c>
      <c r="F13" s="20" t="n">
        <v>2</v>
      </c>
      <c r="G13" s="20" t="s">
        <v>51</v>
      </c>
      <c r="H13" s="20" t="s">
        <v>52</v>
      </c>
      <c r="I13" s="21" t="s">
        <v>53</v>
      </c>
      <c r="J13" s="22" t="n">
        <v>0.26</v>
      </c>
      <c r="K13" s="23" t="n">
        <f aca="false">F13*J13</f>
        <v>0.52</v>
      </c>
      <c r="L13" s="24" t="s">
        <v>54</v>
      </c>
    </row>
    <row r="14" customFormat="false" ht="27.75" hidden="false" customHeight="true" outlineLevel="0" collapsed="false">
      <c r="A14" s="25" t="s">
        <v>55</v>
      </c>
      <c r="B14" s="25" t="s">
        <v>56</v>
      </c>
      <c r="C14" s="25" t="s">
        <v>17</v>
      </c>
      <c r="D14" s="25" t="s">
        <v>49</v>
      </c>
      <c r="E14" s="25" t="s">
        <v>57</v>
      </c>
      <c r="F14" s="25" t="n">
        <v>2</v>
      </c>
      <c r="G14" s="25" t="s">
        <v>51</v>
      </c>
      <c r="H14" s="25" t="s">
        <v>58</v>
      </c>
      <c r="I14" s="10" t="s">
        <v>59</v>
      </c>
      <c r="J14" s="11" t="n">
        <v>1.6</v>
      </c>
      <c r="K14" s="12" t="n">
        <f aca="false">F14*J14</f>
        <v>3.2</v>
      </c>
      <c r="L14" s="13"/>
    </row>
    <row r="15" customFormat="false" ht="35.05" hidden="false" customHeight="false" outlineLevel="0" collapsed="false">
      <c r="A15" s="20" t="s">
        <v>60</v>
      </c>
      <c r="B15" s="20" t="s">
        <v>61</v>
      </c>
      <c r="C15" s="20" t="s">
        <v>17</v>
      </c>
      <c r="D15" s="20" t="s">
        <v>49</v>
      </c>
      <c r="E15" s="20" t="s">
        <v>37</v>
      </c>
      <c r="F15" s="20" t="n">
        <v>2</v>
      </c>
      <c r="G15" s="20" t="s">
        <v>51</v>
      </c>
      <c r="H15" s="20" t="s">
        <v>62</v>
      </c>
      <c r="I15" s="21" t="s">
        <v>63</v>
      </c>
      <c r="J15" s="22" t="n">
        <v>1.73</v>
      </c>
      <c r="K15" s="23" t="n">
        <f aca="false">F15*J15</f>
        <v>3.46</v>
      </c>
      <c r="L15" s="26" t="s">
        <v>64</v>
      </c>
    </row>
    <row r="16" customFormat="false" ht="15" hidden="false" customHeight="false" outlineLevel="0" collapsed="false">
      <c r="A16" s="14" t="s">
        <v>60</v>
      </c>
      <c r="B16" s="14" t="s">
        <v>65</v>
      </c>
      <c r="C16" s="14" t="s">
        <v>17</v>
      </c>
      <c r="D16" s="14" t="s">
        <v>49</v>
      </c>
      <c r="E16" s="14" t="s">
        <v>66</v>
      </c>
      <c r="F16" s="14" t="n">
        <v>2</v>
      </c>
      <c r="G16" s="14" t="s">
        <v>51</v>
      </c>
      <c r="H16" s="14" t="s">
        <v>67</v>
      </c>
      <c r="I16" s="15" t="s">
        <v>68</v>
      </c>
      <c r="J16" s="16" t="n">
        <v>2.85</v>
      </c>
      <c r="K16" s="17" t="n">
        <f aca="false">F16*J16</f>
        <v>5.7</v>
      </c>
      <c r="L16" s="18" t="s">
        <v>69</v>
      </c>
    </row>
    <row r="17" customFormat="false" ht="23.85" hidden="false" customHeight="false" outlineLevel="0" collapsed="false">
      <c r="A17" s="14" t="s">
        <v>60</v>
      </c>
      <c r="B17" s="14" t="s">
        <v>70</v>
      </c>
      <c r="C17" s="14" t="s">
        <v>17</v>
      </c>
      <c r="D17" s="14" t="s">
        <v>49</v>
      </c>
      <c r="E17" s="14" t="s">
        <v>66</v>
      </c>
      <c r="F17" s="14" t="n">
        <v>2</v>
      </c>
      <c r="G17" s="14" t="s">
        <v>51</v>
      </c>
      <c r="H17" s="14" t="s">
        <v>24</v>
      </c>
      <c r="I17" s="15" t="s">
        <v>71</v>
      </c>
      <c r="J17" s="16" t="n">
        <v>4.39</v>
      </c>
      <c r="K17" s="17" t="n">
        <f aca="false">F17*J17</f>
        <v>8.78</v>
      </c>
      <c r="L17" s="18" t="s">
        <v>72</v>
      </c>
    </row>
    <row r="18" customFormat="false" ht="27.75" hidden="false" customHeight="true" outlineLevel="0" collapsed="false">
      <c r="A18" s="14" t="s">
        <v>60</v>
      </c>
      <c r="B18" s="14" t="s">
        <v>73</v>
      </c>
      <c r="C18" s="14" t="s">
        <v>17</v>
      </c>
      <c r="D18" s="14" t="s">
        <v>49</v>
      </c>
      <c r="E18" s="14" t="s">
        <v>66</v>
      </c>
      <c r="F18" s="14" t="n">
        <v>2</v>
      </c>
      <c r="G18" s="14" t="s">
        <v>51</v>
      </c>
      <c r="H18" s="14" t="s">
        <v>74</v>
      </c>
      <c r="I18" s="15" t="s">
        <v>75</v>
      </c>
      <c r="J18" s="16" t="n">
        <v>5.98</v>
      </c>
      <c r="K18" s="17" t="n">
        <f aca="false">F18*J18</f>
        <v>11.96</v>
      </c>
      <c r="L18" s="18" t="s">
        <v>76</v>
      </c>
    </row>
    <row r="19" customFormat="false" ht="15" hidden="false" customHeight="false" outlineLevel="0" collapsed="false">
      <c r="A19" s="7" t="s">
        <v>77</v>
      </c>
      <c r="B19" s="8"/>
      <c r="C19" s="8"/>
      <c r="D19" s="8"/>
      <c r="E19" s="8"/>
      <c r="F19" s="8"/>
      <c r="G19" s="8"/>
      <c r="H19" s="8"/>
    </row>
    <row r="20" customFormat="false" ht="23.85" hidden="false" customHeight="false" outlineLevel="0" collapsed="false">
      <c r="A20" s="14" t="s">
        <v>78</v>
      </c>
      <c r="B20" s="14" t="s">
        <v>79</v>
      </c>
      <c r="C20" s="14" t="s">
        <v>80</v>
      </c>
      <c r="D20" s="14" t="s">
        <v>18</v>
      </c>
      <c r="E20" s="14" t="s">
        <v>50</v>
      </c>
      <c r="F20" s="14" t="n">
        <v>5</v>
      </c>
      <c r="G20" s="14" t="s">
        <v>20</v>
      </c>
      <c r="H20" s="14" t="s">
        <v>81</v>
      </c>
      <c r="I20" s="15" t="s">
        <v>82</v>
      </c>
      <c r="J20" s="16" t="n">
        <v>0.94</v>
      </c>
      <c r="K20" s="17" t="n">
        <f aca="false">F20*J20</f>
        <v>4.7</v>
      </c>
      <c r="L20" s="18" t="s">
        <v>83</v>
      </c>
    </row>
    <row r="21" customFormat="false" ht="15" hidden="false" customHeight="false" outlineLevel="0" collapsed="false">
      <c r="A21" s="9" t="s">
        <v>78</v>
      </c>
      <c r="B21" s="9" t="s">
        <v>84</v>
      </c>
      <c r="C21" s="9" t="s">
        <v>80</v>
      </c>
      <c r="D21" s="9" t="s">
        <v>18</v>
      </c>
      <c r="E21" s="9" t="s">
        <v>50</v>
      </c>
      <c r="F21" s="9" t="n">
        <v>8</v>
      </c>
      <c r="G21" s="9" t="s">
        <v>20</v>
      </c>
      <c r="H21" s="9" t="s">
        <v>85</v>
      </c>
      <c r="I21" s="10" t="s">
        <v>86</v>
      </c>
      <c r="J21" s="11" t="n">
        <v>0.56</v>
      </c>
      <c r="K21" s="12" t="n">
        <f aca="false">F21*J21</f>
        <v>4.48</v>
      </c>
      <c r="L21" s="13"/>
    </row>
    <row r="22" customFormat="false" ht="57.45" hidden="false" customHeight="false" outlineLevel="0" collapsed="false">
      <c r="A22" s="14" t="s">
        <v>78</v>
      </c>
      <c r="B22" s="14" t="s">
        <v>87</v>
      </c>
      <c r="C22" s="14" t="s">
        <v>80</v>
      </c>
      <c r="D22" s="14" t="s">
        <v>18</v>
      </c>
      <c r="E22" s="14" t="s">
        <v>50</v>
      </c>
      <c r="F22" s="14" t="n">
        <v>12</v>
      </c>
      <c r="G22" s="14" t="s">
        <v>20</v>
      </c>
      <c r="H22" s="14" t="s">
        <v>88</v>
      </c>
      <c r="I22" s="15" t="s">
        <v>89</v>
      </c>
      <c r="J22" s="16" t="n">
        <v>0.48</v>
      </c>
      <c r="K22" s="17" t="n">
        <f aca="false">F22*J22</f>
        <v>5.76</v>
      </c>
      <c r="L22" s="18" t="s">
        <v>90</v>
      </c>
    </row>
    <row r="23" customFormat="false" ht="15" hidden="false" customHeight="false" outlineLevel="0" collapsed="false">
      <c r="A23" s="9" t="s">
        <v>78</v>
      </c>
      <c r="B23" s="9" t="s">
        <v>91</v>
      </c>
      <c r="C23" s="9" t="s">
        <v>80</v>
      </c>
      <c r="D23" s="9" t="s">
        <v>18</v>
      </c>
      <c r="E23" s="9" t="s">
        <v>50</v>
      </c>
      <c r="F23" s="9" t="n">
        <v>12</v>
      </c>
      <c r="G23" s="9" t="s">
        <v>20</v>
      </c>
      <c r="H23" s="9" t="s">
        <v>92</v>
      </c>
      <c r="I23" s="10" t="s">
        <v>93</v>
      </c>
      <c r="J23" s="11" t="n">
        <v>0.57</v>
      </c>
      <c r="K23" s="12" t="n">
        <f aca="false">F23*J23</f>
        <v>6.84</v>
      </c>
      <c r="L23" s="13"/>
    </row>
    <row r="24" customFormat="false" ht="27.75" hidden="false" customHeight="true" outlineLevel="0" collapsed="false">
      <c r="A24" s="9" t="s">
        <v>78</v>
      </c>
      <c r="B24" s="9" t="s">
        <v>94</v>
      </c>
      <c r="C24" s="9" t="s">
        <v>80</v>
      </c>
      <c r="D24" s="9" t="s">
        <v>18</v>
      </c>
      <c r="E24" s="9" t="s">
        <v>50</v>
      </c>
      <c r="F24" s="9" t="n">
        <v>8</v>
      </c>
      <c r="G24" s="9" t="s">
        <v>20</v>
      </c>
      <c r="H24" s="9" t="s">
        <v>95</v>
      </c>
      <c r="I24" s="10" t="s">
        <v>96</v>
      </c>
      <c r="J24" s="27" t="n">
        <v>0.68</v>
      </c>
      <c r="K24" s="12" t="n">
        <f aca="false">F24*J24</f>
        <v>5.44</v>
      </c>
      <c r="L24" s="13"/>
    </row>
    <row r="25" customFormat="false" ht="15" hidden="false" customHeight="false" outlineLevel="0" collapsed="false">
      <c r="A25" s="9" t="s">
        <v>78</v>
      </c>
      <c r="B25" s="9" t="s">
        <v>97</v>
      </c>
      <c r="C25" s="9" t="s">
        <v>80</v>
      </c>
      <c r="D25" s="9" t="s">
        <v>18</v>
      </c>
      <c r="E25" s="9" t="s">
        <v>50</v>
      </c>
      <c r="F25" s="9" t="n">
        <v>10</v>
      </c>
      <c r="G25" s="9" t="s">
        <v>20</v>
      </c>
      <c r="H25" s="9" t="s">
        <v>98</v>
      </c>
      <c r="I25" s="10" t="s">
        <v>99</v>
      </c>
      <c r="J25" s="27" t="n">
        <v>0.79</v>
      </c>
      <c r="K25" s="12" t="n">
        <f aca="false">F25*J25</f>
        <v>7.9</v>
      </c>
      <c r="L25" s="13"/>
    </row>
    <row r="26" customFormat="false" ht="15" hidden="false" customHeight="false" outlineLevel="0" collapsed="false">
      <c r="A26" s="9" t="s">
        <v>15</v>
      </c>
      <c r="B26" s="9" t="s">
        <v>16</v>
      </c>
      <c r="C26" s="9" t="s">
        <v>80</v>
      </c>
      <c r="D26" s="9" t="s">
        <v>18</v>
      </c>
      <c r="E26" s="9" t="s">
        <v>19</v>
      </c>
      <c r="F26" s="9" t="n">
        <v>6</v>
      </c>
      <c r="G26" s="9" t="s">
        <v>20</v>
      </c>
      <c r="H26" s="9" t="s">
        <v>100</v>
      </c>
      <c r="I26" s="10" t="s">
        <v>101</v>
      </c>
      <c r="J26" s="27" t="n">
        <v>0.94</v>
      </c>
      <c r="K26" s="12" t="n">
        <f aca="false">F26*J26</f>
        <v>5.64</v>
      </c>
      <c r="L26" s="13"/>
    </row>
    <row r="27" customFormat="false" ht="15" hidden="false" customHeight="false" outlineLevel="0" collapsed="false">
      <c r="A27" s="7" t="s">
        <v>102</v>
      </c>
      <c r="B27" s="8"/>
      <c r="C27" s="8"/>
      <c r="D27" s="8"/>
      <c r="E27" s="8"/>
      <c r="F27" s="8"/>
      <c r="G27" s="8"/>
      <c r="H27" s="8"/>
      <c r="J27" s="2"/>
    </row>
    <row r="28" customFormat="false" ht="27.75" hidden="false" customHeight="true" outlineLevel="0" collapsed="false">
      <c r="A28" s="25" t="s">
        <v>103</v>
      </c>
      <c r="B28" s="25" t="s">
        <v>104</v>
      </c>
      <c r="C28" s="25" t="s">
        <v>80</v>
      </c>
      <c r="D28" s="25" t="s">
        <v>105</v>
      </c>
      <c r="E28" s="25" t="s">
        <v>106</v>
      </c>
      <c r="F28" s="25" t="n">
        <v>5</v>
      </c>
      <c r="G28" s="25" t="s">
        <v>20</v>
      </c>
      <c r="H28" s="25" t="s">
        <v>107</v>
      </c>
      <c r="I28" s="10" t="s">
        <v>108</v>
      </c>
      <c r="J28" s="27" t="n">
        <v>0.13</v>
      </c>
      <c r="K28" s="12" t="n">
        <f aca="false">F28*J28</f>
        <v>0.65</v>
      </c>
      <c r="L28" s="13"/>
    </row>
    <row r="29" customFormat="false" ht="15" hidden="false" customHeight="false" outlineLevel="0" collapsed="false">
      <c r="A29" s="25" t="s">
        <v>109</v>
      </c>
      <c r="B29" s="25" t="s">
        <v>110</v>
      </c>
      <c r="C29" s="25" t="s">
        <v>80</v>
      </c>
      <c r="D29" s="25" t="s">
        <v>105</v>
      </c>
      <c r="E29" s="25" t="s">
        <v>111</v>
      </c>
      <c r="F29" s="25" t="n">
        <v>5</v>
      </c>
      <c r="G29" s="25" t="s">
        <v>20</v>
      </c>
      <c r="H29" s="25" t="s">
        <v>112</v>
      </c>
      <c r="I29" s="10" t="s">
        <v>113</v>
      </c>
      <c r="J29" s="27" t="n">
        <v>0.17</v>
      </c>
      <c r="K29" s="12" t="n">
        <f aca="false">F29*J29</f>
        <v>0.85</v>
      </c>
      <c r="L29" s="13"/>
    </row>
    <row r="30" customFormat="false" ht="15" hidden="false" customHeight="false" outlineLevel="0" collapsed="false">
      <c r="A30" s="25" t="s">
        <v>109</v>
      </c>
      <c r="B30" s="25" t="s">
        <v>114</v>
      </c>
      <c r="C30" s="25" t="s">
        <v>80</v>
      </c>
      <c r="D30" s="25" t="s">
        <v>105</v>
      </c>
      <c r="E30" s="25" t="s">
        <v>111</v>
      </c>
      <c r="F30" s="25" t="n">
        <v>5</v>
      </c>
      <c r="G30" s="25" t="s">
        <v>20</v>
      </c>
      <c r="H30" s="25" t="s">
        <v>115</v>
      </c>
      <c r="I30" s="10" t="s">
        <v>116</v>
      </c>
      <c r="J30" s="27" t="n">
        <v>0.19</v>
      </c>
      <c r="K30" s="12" t="n">
        <f aca="false">F30*J30</f>
        <v>0.95</v>
      </c>
      <c r="L30" s="13"/>
    </row>
    <row r="31" customFormat="false" ht="15" hidden="false" customHeight="false" outlineLevel="0" collapsed="false">
      <c r="A31" s="25" t="s">
        <v>109</v>
      </c>
      <c r="B31" s="25" t="s">
        <v>117</v>
      </c>
      <c r="C31" s="25" t="s">
        <v>80</v>
      </c>
      <c r="D31" s="25" t="s">
        <v>105</v>
      </c>
      <c r="E31" s="25" t="s">
        <v>111</v>
      </c>
      <c r="F31" s="25" t="n">
        <v>6</v>
      </c>
      <c r="G31" s="25" t="s">
        <v>20</v>
      </c>
      <c r="H31" s="25" t="s">
        <v>118</v>
      </c>
      <c r="I31" s="10" t="s">
        <v>119</v>
      </c>
      <c r="J31" s="27" t="n">
        <v>0.2</v>
      </c>
      <c r="K31" s="12" t="n">
        <f aca="false">F31*J31</f>
        <v>1.2</v>
      </c>
      <c r="L31" s="13"/>
    </row>
    <row r="32" customFormat="false" ht="15" hidden="false" customHeight="false" outlineLevel="0" collapsed="false">
      <c r="A32" s="25" t="s">
        <v>109</v>
      </c>
      <c r="B32" s="25" t="s">
        <v>120</v>
      </c>
      <c r="C32" s="25" t="s">
        <v>80</v>
      </c>
      <c r="D32" s="25" t="s">
        <v>105</v>
      </c>
      <c r="E32" s="25" t="s">
        <v>111</v>
      </c>
      <c r="F32" s="25" t="n">
        <v>5</v>
      </c>
      <c r="G32" s="25" t="s">
        <v>20</v>
      </c>
      <c r="H32" s="25" t="s">
        <v>121</v>
      </c>
      <c r="I32" s="10" t="s">
        <v>122</v>
      </c>
      <c r="J32" s="27" t="n">
        <v>0.23</v>
      </c>
      <c r="K32" s="12" t="n">
        <f aca="false">F32*J32</f>
        <v>1.15</v>
      </c>
      <c r="L32" s="13"/>
    </row>
    <row r="33" customFormat="false" ht="23.85" hidden="false" customHeight="false" outlineLevel="0" collapsed="false">
      <c r="A33" s="14" t="s">
        <v>123</v>
      </c>
      <c r="B33" s="14" t="s">
        <v>79</v>
      </c>
      <c r="C33" s="14" t="s">
        <v>80</v>
      </c>
      <c r="D33" s="14" t="s">
        <v>105</v>
      </c>
      <c r="E33" s="14" t="s">
        <v>124</v>
      </c>
      <c r="F33" s="14" t="n">
        <v>4</v>
      </c>
      <c r="G33" s="14" t="s">
        <v>20</v>
      </c>
      <c r="H33" s="14" t="s">
        <v>125</v>
      </c>
      <c r="I33" s="15" t="s">
        <v>126</v>
      </c>
      <c r="J33" s="28" t="n">
        <v>0.2</v>
      </c>
      <c r="K33" s="17" t="n">
        <f aca="false">F33*J33</f>
        <v>0.8</v>
      </c>
      <c r="L33" s="18" t="s">
        <v>83</v>
      </c>
    </row>
    <row r="34" customFormat="false" ht="15" hidden="false" customHeight="false" outlineLevel="0" collapsed="false">
      <c r="A34" s="25" t="s">
        <v>123</v>
      </c>
      <c r="B34" s="25" t="s">
        <v>127</v>
      </c>
      <c r="C34" s="25" t="s">
        <v>80</v>
      </c>
      <c r="D34" s="25" t="s">
        <v>105</v>
      </c>
      <c r="E34" s="25" t="s">
        <v>124</v>
      </c>
      <c r="F34" s="25" t="n">
        <v>6</v>
      </c>
      <c r="G34" s="25" t="s">
        <v>20</v>
      </c>
      <c r="H34" s="25" t="s">
        <v>128</v>
      </c>
      <c r="I34" s="10" t="s">
        <v>129</v>
      </c>
      <c r="J34" s="27" t="n">
        <v>0.38</v>
      </c>
      <c r="K34" s="12" t="n">
        <f aca="false">F34*J34</f>
        <v>2.28</v>
      </c>
      <c r="L34" s="13"/>
    </row>
    <row r="35" customFormat="false" ht="15" hidden="false" customHeight="false" outlineLevel="0" collapsed="false">
      <c r="A35" s="25" t="s">
        <v>123</v>
      </c>
      <c r="B35" s="25" t="s">
        <v>97</v>
      </c>
      <c r="C35" s="25" t="s">
        <v>80</v>
      </c>
      <c r="D35" s="25" t="s">
        <v>105</v>
      </c>
      <c r="E35" s="25" t="s">
        <v>124</v>
      </c>
      <c r="F35" s="25" t="n">
        <v>8</v>
      </c>
      <c r="G35" s="25" t="s">
        <v>20</v>
      </c>
      <c r="H35" s="25" t="s">
        <v>130</v>
      </c>
      <c r="I35" s="10" t="s">
        <v>131</v>
      </c>
      <c r="J35" s="27" t="n">
        <v>0.32</v>
      </c>
      <c r="K35" s="12" t="n">
        <f aca="false">F35*J35</f>
        <v>2.56</v>
      </c>
      <c r="L35" s="13"/>
    </row>
    <row r="36" customFormat="false" ht="27.75" hidden="false" customHeight="true" outlineLevel="0" collapsed="false">
      <c r="A36" s="25" t="s">
        <v>123</v>
      </c>
      <c r="B36" s="25" t="s">
        <v>132</v>
      </c>
      <c r="C36" s="25" t="s">
        <v>80</v>
      </c>
      <c r="D36" s="25" t="s">
        <v>105</v>
      </c>
      <c r="E36" s="25" t="s">
        <v>124</v>
      </c>
      <c r="F36" s="25" t="n">
        <v>25</v>
      </c>
      <c r="G36" s="25" t="s">
        <v>20</v>
      </c>
      <c r="H36" s="25" t="s">
        <v>133</v>
      </c>
      <c r="I36" s="10" t="s">
        <v>134</v>
      </c>
      <c r="J36" s="27" t="n">
        <v>0.28</v>
      </c>
      <c r="K36" s="12" t="n">
        <f aca="false">F36*J36</f>
        <v>7</v>
      </c>
      <c r="L36" s="13"/>
    </row>
    <row r="37" customFormat="false" ht="15" hidden="false" customHeight="false" outlineLevel="0" collapsed="false">
      <c r="A37" s="25" t="s">
        <v>123</v>
      </c>
      <c r="B37" s="25" t="s">
        <v>135</v>
      </c>
      <c r="C37" s="25" t="s">
        <v>80</v>
      </c>
      <c r="D37" s="25" t="s">
        <v>105</v>
      </c>
      <c r="E37" s="25" t="s">
        <v>124</v>
      </c>
      <c r="F37" s="25" t="n">
        <v>4</v>
      </c>
      <c r="G37" s="25" t="s">
        <v>20</v>
      </c>
      <c r="H37" s="25" t="s">
        <v>136</v>
      </c>
      <c r="I37" s="10" t="s">
        <v>137</v>
      </c>
      <c r="J37" s="27" t="n">
        <v>0.41</v>
      </c>
      <c r="K37" s="12" t="n">
        <f aca="false">F37*J37</f>
        <v>1.64</v>
      </c>
      <c r="L37" s="13"/>
    </row>
    <row r="38" customFormat="false" ht="15" hidden="false" customHeight="false" outlineLevel="0" collapsed="false">
      <c r="A38" s="25" t="s">
        <v>123</v>
      </c>
      <c r="B38" s="25" t="s">
        <v>138</v>
      </c>
      <c r="C38" s="25" t="s">
        <v>80</v>
      </c>
      <c r="D38" s="25" t="s">
        <v>105</v>
      </c>
      <c r="E38" s="25" t="s">
        <v>124</v>
      </c>
      <c r="F38" s="25" t="n">
        <v>6</v>
      </c>
      <c r="G38" s="25" t="s">
        <v>20</v>
      </c>
      <c r="H38" s="25" t="s">
        <v>139</v>
      </c>
      <c r="I38" s="10" t="s">
        <v>140</v>
      </c>
      <c r="J38" s="27" t="n">
        <v>0.43</v>
      </c>
      <c r="K38" s="12" t="n">
        <f aca="false">F38*J38</f>
        <v>2.58</v>
      </c>
      <c r="L38" s="13"/>
    </row>
    <row r="39" customFormat="false" ht="15" hidden="false" customHeight="false" outlineLevel="0" collapsed="false">
      <c r="A39" s="25" t="s">
        <v>123</v>
      </c>
      <c r="B39" s="25" t="s">
        <v>141</v>
      </c>
      <c r="C39" s="25" t="s">
        <v>80</v>
      </c>
      <c r="D39" s="25" t="s">
        <v>105</v>
      </c>
      <c r="E39" s="25" t="s">
        <v>124</v>
      </c>
      <c r="F39" s="25" t="n">
        <v>8</v>
      </c>
      <c r="G39" s="25" t="s">
        <v>20</v>
      </c>
      <c r="H39" s="25" t="s">
        <v>142</v>
      </c>
      <c r="I39" s="10" t="s">
        <v>143</v>
      </c>
      <c r="J39" s="27" t="n">
        <v>0.5</v>
      </c>
      <c r="K39" s="12" t="n">
        <f aca="false">F39*J39</f>
        <v>4</v>
      </c>
      <c r="L39" s="13"/>
    </row>
    <row r="40" customFormat="false" ht="15" hidden="false" customHeight="false" outlineLevel="0" collapsed="false">
      <c r="A40" s="25" t="s">
        <v>123</v>
      </c>
      <c r="B40" s="25" t="s">
        <v>144</v>
      </c>
      <c r="C40" s="25" t="s">
        <v>80</v>
      </c>
      <c r="D40" s="25" t="s">
        <v>105</v>
      </c>
      <c r="E40" s="25" t="s">
        <v>124</v>
      </c>
      <c r="F40" s="25" t="n">
        <v>7</v>
      </c>
      <c r="G40" s="25" t="s">
        <v>20</v>
      </c>
      <c r="H40" s="25" t="s">
        <v>145</v>
      </c>
      <c r="I40" s="10" t="s">
        <v>146</v>
      </c>
      <c r="J40" s="27" t="n">
        <v>0.6</v>
      </c>
      <c r="K40" s="12" t="n">
        <f aca="false">F40*J40</f>
        <v>4.2</v>
      </c>
      <c r="L40" s="13"/>
    </row>
    <row r="41" customFormat="false" ht="15" hidden="false" customHeight="false" outlineLevel="0" collapsed="false">
      <c r="A41" s="25" t="s">
        <v>123</v>
      </c>
      <c r="B41" s="25" t="s">
        <v>147</v>
      </c>
      <c r="C41" s="25" t="s">
        <v>80</v>
      </c>
      <c r="D41" s="25" t="s">
        <v>105</v>
      </c>
      <c r="E41" s="25" t="s">
        <v>124</v>
      </c>
      <c r="F41" s="25" t="n">
        <v>4</v>
      </c>
      <c r="G41" s="25" t="s">
        <v>20</v>
      </c>
      <c r="H41" s="25" t="s">
        <v>148</v>
      </c>
      <c r="I41" s="10" t="s">
        <v>149</v>
      </c>
      <c r="J41" s="27" t="n">
        <v>0.9</v>
      </c>
      <c r="K41" s="12" t="n">
        <f aca="false">F41*J41</f>
        <v>3.6</v>
      </c>
      <c r="L41" s="13"/>
    </row>
    <row r="42" customFormat="false" ht="35.05" hidden="false" customHeight="false" outlineLevel="0" collapsed="false">
      <c r="A42" s="14" t="s">
        <v>150</v>
      </c>
      <c r="B42" s="14" t="s">
        <v>30</v>
      </c>
      <c r="C42" s="14" t="s">
        <v>80</v>
      </c>
      <c r="D42" s="14" t="s">
        <v>105</v>
      </c>
      <c r="E42" s="14" t="s">
        <v>151</v>
      </c>
      <c r="F42" s="14" t="n">
        <v>8</v>
      </c>
      <c r="G42" s="14" t="s">
        <v>20</v>
      </c>
      <c r="H42" s="14" t="s">
        <v>152</v>
      </c>
      <c r="I42" s="15" t="s">
        <v>153</v>
      </c>
      <c r="J42" s="28" t="n">
        <v>1.09</v>
      </c>
      <c r="K42" s="17" t="n">
        <f aca="false">F42*J42</f>
        <v>8.72</v>
      </c>
      <c r="L42" s="18" t="s">
        <v>34</v>
      </c>
    </row>
    <row r="43" customFormat="false" ht="15" hidden="false" customHeight="false" outlineLevel="0" collapsed="false">
      <c r="A43" s="25" t="s">
        <v>150</v>
      </c>
      <c r="B43" s="25" t="s">
        <v>154</v>
      </c>
      <c r="C43" s="25" t="s">
        <v>80</v>
      </c>
      <c r="D43" s="25" t="s">
        <v>105</v>
      </c>
      <c r="E43" s="25" t="s">
        <v>151</v>
      </c>
      <c r="F43" s="25" t="n">
        <v>4</v>
      </c>
      <c r="G43" s="25" t="s">
        <v>20</v>
      </c>
      <c r="H43" s="25" t="s">
        <v>152</v>
      </c>
      <c r="I43" s="10" t="s">
        <v>155</v>
      </c>
      <c r="J43" s="27" t="n">
        <v>1.38</v>
      </c>
      <c r="K43" s="12" t="n">
        <f aca="false">F43*J43</f>
        <v>5.52</v>
      </c>
      <c r="L43" s="13"/>
    </row>
    <row r="44" customFormat="false" ht="15" hidden="false" customHeight="false" outlineLevel="0" collapsed="false">
      <c r="A44" s="25" t="s">
        <v>156</v>
      </c>
      <c r="B44" s="25" t="s">
        <v>127</v>
      </c>
      <c r="C44" s="25" t="s">
        <v>80</v>
      </c>
      <c r="D44" s="25" t="s">
        <v>157</v>
      </c>
      <c r="E44" s="25" t="s">
        <v>124</v>
      </c>
      <c r="F44" s="25" t="n">
        <v>3</v>
      </c>
      <c r="G44" s="25" t="s">
        <v>51</v>
      </c>
      <c r="H44" s="25" t="s">
        <v>158</v>
      </c>
      <c r="I44" s="10" t="s">
        <v>159</v>
      </c>
      <c r="J44" s="11" t="n">
        <v>0.28</v>
      </c>
      <c r="K44" s="12" t="n">
        <f aca="false">F44*J44</f>
        <v>0.84</v>
      </c>
      <c r="L44" s="13"/>
    </row>
    <row r="45" customFormat="false" ht="15" hidden="false" customHeight="false" outlineLevel="0" collapsed="false">
      <c r="A45" s="7" t="s">
        <v>160</v>
      </c>
      <c r="B45" s="8"/>
      <c r="C45" s="8"/>
      <c r="D45" s="8"/>
      <c r="E45" s="8"/>
      <c r="F45" s="8"/>
      <c r="G45" s="8"/>
      <c r="H45" s="8"/>
    </row>
    <row r="46" customFormat="false" ht="15" hidden="false" customHeight="false" outlineLevel="0" collapsed="false">
      <c r="A46" s="25" t="s">
        <v>161</v>
      </c>
      <c r="B46" s="25" t="s">
        <v>162</v>
      </c>
      <c r="C46" s="25" t="s">
        <v>80</v>
      </c>
      <c r="D46" s="25" t="s">
        <v>163</v>
      </c>
      <c r="E46" s="25" t="s">
        <v>164</v>
      </c>
      <c r="F46" s="25" t="n">
        <v>6</v>
      </c>
      <c r="G46" s="25" t="s">
        <v>20</v>
      </c>
      <c r="H46" s="25" t="s">
        <v>165</v>
      </c>
      <c r="I46" s="10" t="s">
        <v>166</v>
      </c>
      <c r="J46" s="11" t="n">
        <v>0.21</v>
      </c>
      <c r="K46" s="12" t="n">
        <f aca="false">F46*J46</f>
        <v>1.26</v>
      </c>
      <c r="L46" s="13"/>
    </row>
    <row r="47" customFormat="false" ht="15" hidden="false" customHeight="false" outlineLevel="0" collapsed="false">
      <c r="A47" s="25" t="s">
        <v>167</v>
      </c>
      <c r="B47" s="25" t="s">
        <v>168</v>
      </c>
      <c r="C47" s="25" t="s">
        <v>80</v>
      </c>
      <c r="D47" s="25" t="s">
        <v>169</v>
      </c>
      <c r="E47" s="25" t="s">
        <v>50</v>
      </c>
      <c r="F47" s="25" t="n">
        <v>8</v>
      </c>
      <c r="G47" s="25" t="s">
        <v>20</v>
      </c>
      <c r="H47" s="25" t="s">
        <v>170</v>
      </c>
      <c r="I47" s="10" t="s">
        <v>171</v>
      </c>
      <c r="J47" s="11" t="n">
        <v>0.12</v>
      </c>
      <c r="K47" s="12" t="n">
        <f aca="false">F47*J47</f>
        <v>0.96</v>
      </c>
      <c r="L47" s="13"/>
    </row>
    <row r="48" customFormat="false" ht="23.85" hidden="false" customHeight="false" outlineLevel="0" collapsed="false">
      <c r="A48" s="25" t="s">
        <v>172</v>
      </c>
      <c r="B48" s="25" t="s">
        <v>168</v>
      </c>
      <c r="C48" s="25" t="s">
        <v>173</v>
      </c>
      <c r="D48" s="25" t="s">
        <v>174</v>
      </c>
      <c r="E48" s="25" t="s">
        <v>50</v>
      </c>
      <c r="F48" s="25" t="n">
        <v>8</v>
      </c>
      <c r="G48" s="25" t="s">
        <v>51</v>
      </c>
      <c r="H48" s="25" t="s">
        <v>175</v>
      </c>
      <c r="I48" s="10" t="s">
        <v>176</v>
      </c>
      <c r="J48" s="11" t="n">
        <v>0.16</v>
      </c>
      <c r="K48" s="12" t="n">
        <f aca="false">F48*J48</f>
        <v>1.28</v>
      </c>
      <c r="L48" s="13"/>
    </row>
    <row r="49" customFormat="false" ht="15" hidden="false" customHeight="false" outlineLevel="0" collapsed="false">
      <c r="A49" s="25" t="s">
        <v>177</v>
      </c>
      <c r="B49" s="25" t="s">
        <v>168</v>
      </c>
      <c r="C49" s="25" t="s">
        <v>80</v>
      </c>
      <c r="D49" s="25" t="s">
        <v>178</v>
      </c>
      <c r="E49" s="25" t="s">
        <v>50</v>
      </c>
      <c r="F49" s="25" t="n">
        <v>8</v>
      </c>
      <c r="G49" s="25" t="s">
        <v>20</v>
      </c>
      <c r="H49" s="25" t="s">
        <v>179</v>
      </c>
      <c r="I49" s="10" t="s">
        <v>180</v>
      </c>
      <c r="J49" s="11" t="n">
        <v>0.24</v>
      </c>
      <c r="K49" s="12" t="n">
        <f aca="false">F49*J49</f>
        <v>1.92</v>
      </c>
      <c r="L49" s="13"/>
    </row>
    <row r="50" customFormat="false" ht="15" hidden="false" customHeight="false" outlineLevel="0" collapsed="false">
      <c r="A50" s="25" t="s">
        <v>181</v>
      </c>
      <c r="B50" s="25" t="s">
        <v>182</v>
      </c>
      <c r="C50" s="25" t="s">
        <v>80</v>
      </c>
      <c r="D50" s="25" t="s">
        <v>169</v>
      </c>
      <c r="E50" s="25" t="s">
        <v>183</v>
      </c>
      <c r="F50" s="25" t="n">
        <v>4</v>
      </c>
      <c r="G50" s="25" t="s">
        <v>20</v>
      </c>
      <c r="H50" s="25" t="s">
        <v>165</v>
      </c>
      <c r="I50" s="10" t="s">
        <v>184</v>
      </c>
      <c r="J50" s="11" t="n">
        <v>0.21</v>
      </c>
      <c r="K50" s="12" t="n">
        <f aca="false">F50*J50</f>
        <v>0.84</v>
      </c>
      <c r="L50" s="13"/>
    </row>
    <row r="51" customFormat="false" ht="15" hidden="false" customHeight="false" outlineLevel="0" collapsed="false">
      <c r="A51" s="25" t="s">
        <v>185</v>
      </c>
      <c r="B51" s="25" t="s">
        <v>182</v>
      </c>
      <c r="C51" s="25" t="s">
        <v>173</v>
      </c>
      <c r="D51" s="25" t="s">
        <v>174</v>
      </c>
      <c r="E51" s="25" t="s">
        <v>186</v>
      </c>
      <c r="F51" s="25" t="n">
        <v>4</v>
      </c>
      <c r="G51" s="25" t="s">
        <v>51</v>
      </c>
      <c r="H51" s="25" t="s">
        <v>187</v>
      </c>
      <c r="I51" s="10" t="s">
        <v>188</v>
      </c>
      <c r="J51" s="11" t="n">
        <v>0.24</v>
      </c>
      <c r="K51" s="12" t="n">
        <f aca="false">F51*J51</f>
        <v>0.96</v>
      </c>
      <c r="L51" s="13"/>
    </row>
    <row r="52" customFormat="false" ht="15" hidden="false" customHeight="false" outlineLevel="0" collapsed="false">
      <c r="A52" s="25" t="s">
        <v>189</v>
      </c>
      <c r="B52" s="25" t="s">
        <v>190</v>
      </c>
      <c r="C52" s="25" t="s">
        <v>173</v>
      </c>
      <c r="D52" s="25" t="s">
        <v>174</v>
      </c>
      <c r="E52" s="25" t="s">
        <v>42</v>
      </c>
      <c r="F52" s="25" t="n">
        <v>8</v>
      </c>
      <c r="G52" s="25" t="s">
        <v>51</v>
      </c>
      <c r="H52" s="25" t="s">
        <v>191</v>
      </c>
      <c r="I52" s="10" t="s">
        <v>192</v>
      </c>
      <c r="J52" s="11" t="n">
        <v>0.5</v>
      </c>
      <c r="K52" s="12" t="n">
        <f aca="false">F52*J52</f>
        <v>4</v>
      </c>
      <c r="L52" s="13"/>
    </row>
    <row r="53" customFormat="false" ht="15" hidden="false" customHeight="false" outlineLevel="0" collapsed="false">
      <c r="A53" s="7" t="s">
        <v>193</v>
      </c>
      <c r="B53" s="8"/>
      <c r="C53" s="8"/>
      <c r="D53" s="8"/>
      <c r="E53" s="8"/>
      <c r="F53" s="8"/>
      <c r="G53" s="8"/>
      <c r="H53" s="8"/>
    </row>
    <row r="54" customFormat="false" ht="15" hidden="false" customHeight="false" outlineLevel="0" collapsed="false">
      <c r="A54" s="25" t="s">
        <v>194</v>
      </c>
      <c r="B54" s="25" t="s">
        <v>195</v>
      </c>
      <c r="C54" s="25" t="s">
        <v>80</v>
      </c>
      <c r="D54" s="25" t="s">
        <v>196</v>
      </c>
      <c r="E54" s="25" t="s">
        <v>196</v>
      </c>
      <c r="F54" s="25" t="n">
        <v>6</v>
      </c>
      <c r="G54" s="25" t="s">
        <v>20</v>
      </c>
      <c r="H54" s="25" t="s">
        <v>197</v>
      </c>
      <c r="J54" s="27"/>
      <c r="K54" s="29"/>
      <c r="L54" s="13"/>
    </row>
    <row r="55" customFormat="false" ht="15" hidden="false" customHeight="false" outlineLevel="0" collapsed="false">
      <c r="A55" s="25" t="s">
        <v>198</v>
      </c>
      <c r="B55" s="25" t="s">
        <v>199</v>
      </c>
      <c r="C55" s="25" t="s">
        <v>80</v>
      </c>
      <c r="D55" s="25" t="s">
        <v>196</v>
      </c>
      <c r="E55" s="25" t="s">
        <v>196</v>
      </c>
      <c r="F55" s="25" t="n">
        <v>14</v>
      </c>
      <c r="G55" s="25" t="s">
        <v>20</v>
      </c>
      <c r="H55" s="25" t="s">
        <v>200</v>
      </c>
      <c r="J55" s="27"/>
      <c r="K55" s="29"/>
      <c r="L55" s="13"/>
    </row>
    <row r="56" customFormat="false" ht="15" hidden="false" customHeight="false" outlineLevel="0" collapsed="false">
      <c r="A56" s="25" t="s">
        <v>201</v>
      </c>
      <c r="B56" s="25" t="s">
        <v>202</v>
      </c>
      <c r="C56" s="25" t="s">
        <v>80</v>
      </c>
      <c r="D56" s="25" t="s">
        <v>196</v>
      </c>
      <c r="E56" s="25" t="s">
        <v>196</v>
      </c>
      <c r="F56" s="25" t="n">
        <v>6</v>
      </c>
      <c r="G56" s="25" t="s">
        <v>20</v>
      </c>
      <c r="H56" s="25" t="s">
        <v>203</v>
      </c>
      <c r="J56" s="27"/>
      <c r="K56" s="29"/>
      <c r="L56" s="13"/>
    </row>
    <row r="57" customFormat="false" ht="15" hidden="false" customHeight="false" outlineLevel="0" collapsed="false">
      <c r="A57" s="25" t="s">
        <v>204</v>
      </c>
      <c r="B57" s="25" t="s">
        <v>205</v>
      </c>
      <c r="C57" s="25" t="s">
        <v>80</v>
      </c>
      <c r="D57" s="25" t="s">
        <v>196</v>
      </c>
      <c r="E57" s="25" t="s">
        <v>196</v>
      </c>
      <c r="F57" s="25" t="n">
        <v>6</v>
      </c>
      <c r="G57" s="25" t="s">
        <v>20</v>
      </c>
      <c r="H57" s="25" t="s">
        <v>165</v>
      </c>
      <c r="J57" s="27"/>
      <c r="K57" s="29"/>
      <c r="L57" s="13"/>
    </row>
    <row r="58" customFormat="false" ht="27.75" hidden="false" customHeight="true" outlineLevel="0" collapsed="false">
      <c r="A58" s="25" t="s">
        <v>206</v>
      </c>
      <c r="B58" s="25" t="s">
        <v>207</v>
      </c>
      <c r="C58" s="25" t="s">
        <v>80</v>
      </c>
      <c r="D58" s="25" t="s">
        <v>196</v>
      </c>
      <c r="E58" s="25" t="s">
        <v>196</v>
      </c>
      <c r="F58" s="25" t="n">
        <v>22</v>
      </c>
      <c r="G58" s="25" t="s">
        <v>20</v>
      </c>
      <c r="H58" s="25" t="s">
        <v>208</v>
      </c>
      <c r="J58" s="27"/>
      <c r="K58" s="29"/>
      <c r="L58" s="13"/>
    </row>
    <row r="59" customFormat="false" ht="15" hidden="false" customHeight="false" outlineLevel="0" collapsed="false">
      <c r="A59" s="25" t="s">
        <v>209</v>
      </c>
      <c r="B59" s="25" t="s">
        <v>210</v>
      </c>
      <c r="C59" s="25" t="s">
        <v>80</v>
      </c>
      <c r="D59" s="25" t="s">
        <v>196</v>
      </c>
      <c r="E59" s="25" t="s">
        <v>196</v>
      </c>
      <c r="F59" s="25" t="n">
        <v>20</v>
      </c>
      <c r="G59" s="25" t="s">
        <v>20</v>
      </c>
      <c r="H59" s="25" t="s">
        <v>211</v>
      </c>
      <c r="J59" s="27"/>
      <c r="K59" s="29"/>
      <c r="L59" s="13"/>
    </row>
    <row r="60" customFormat="false" ht="15" hidden="false" customHeight="false" outlineLevel="0" collapsed="false">
      <c r="A60" s="25" t="s">
        <v>212</v>
      </c>
      <c r="B60" s="25" t="s">
        <v>213</v>
      </c>
      <c r="C60" s="25" t="s">
        <v>80</v>
      </c>
      <c r="D60" s="25" t="s">
        <v>196</v>
      </c>
      <c r="E60" s="25" t="s">
        <v>196</v>
      </c>
      <c r="F60" s="25" t="n">
        <v>8</v>
      </c>
      <c r="G60" s="25" t="s">
        <v>20</v>
      </c>
      <c r="H60" s="25" t="s">
        <v>214</v>
      </c>
      <c r="J60" s="27"/>
      <c r="K60" s="29"/>
      <c r="L60" s="13"/>
    </row>
    <row r="61" customFormat="false" ht="15" hidden="false" customHeight="false" outlineLevel="0" collapsed="false">
      <c r="A61" s="25" t="s">
        <v>215</v>
      </c>
      <c r="B61" s="25" t="s">
        <v>216</v>
      </c>
      <c r="C61" s="25" t="s">
        <v>80</v>
      </c>
      <c r="D61" s="25" t="s">
        <v>196</v>
      </c>
      <c r="E61" s="25" t="s">
        <v>196</v>
      </c>
      <c r="F61" s="25" t="n">
        <v>12</v>
      </c>
      <c r="G61" s="25" t="s">
        <v>20</v>
      </c>
      <c r="H61" s="25" t="s">
        <v>217</v>
      </c>
      <c r="J61" s="27"/>
      <c r="K61" s="29"/>
      <c r="L61" s="13"/>
    </row>
    <row r="62" customFormat="false" ht="15" hidden="false" customHeight="false" outlineLevel="0" collapsed="false">
      <c r="A62" s="25" t="s">
        <v>218</v>
      </c>
      <c r="B62" s="25" t="s">
        <v>219</v>
      </c>
      <c r="C62" s="25" t="s">
        <v>80</v>
      </c>
      <c r="D62" s="25" t="s">
        <v>196</v>
      </c>
      <c r="E62" s="25" t="s">
        <v>196</v>
      </c>
      <c r="F62" s="25" t="n">
        <v>12</v>
      </c>
      <c r="G62" s="25" t="s">
        <v>20</v>
      </c>
      <c r="H62" s="25" t="s">
        <v>220</v>
      </c>
      <c r="J62" s="27"/>
      <c r="K62" s="29"/>
      <c r="L62" s="13"/>
    </row>
    <row r="63" customFormat="false" ht="15" hidden="false" customHeight="false" outlineLevel="0" collapsed="false">
      <c r="A63" s="25" t="s">
        <v>221</v>
      </c>
      <c r="B63" s="25" t="s">
        <v>222</v>
      </c>
      <c r="C63" s="25" t="s">
        <v>80</v>
      </c>
      <c r="D63" s="25" t="s">
        <v>196</v>
      </c>
      <c r="E63" s="25" t="s">
        <v>196</v>
      </c>
      <c r="F63" s="25" t="n">
        <v>6</v>
      </c>
      <c r="G63" s="25" t="s">
        <v>20</v>
      </c>
      <c r="H63" s="25" t="s">
        <v>223</v>
      </c>
      <c r="J63" s="27"/>
      <c r="K63" s="29"/>
      <c r="L63" s="13"/>
    </row>
    <row r="64" customFormat="false" ht="15" hidden="false" customHeight="false" outlineLevel="0" collapsed="false">
      <c r="A64" s="25" t="s">
        <v>224</v>
      </c>
      <c r="B64" s="25" t="s">
        <v>225</v>
      </c>
      <c r="C64" s="25" t="s">
        <v>173</v>
      </c>
      <c r="D64" s="25" t="s">
        <v>196</v>
      </c>
      <c r="E64" s="25" t="s">
        <v>196</v>
      </c>
      <c r="F64" s="25" t="n">
        <v>8</v>
      </c>
      <c r="G64" s="25" t="s">
        <v>51</v>
      </c>
      <c r="H64" s="25" t="s">
        <v>226</v>
      </c>
      <c r="J64" s="27"/>
      <c r="K64" s="29"/>
      <c r="L64" s="13"/>
    </row>
    <row r="65" customFormat="false" ht="15" hidden="false" customHeight="false" outlineLevel="0" collapsed="false">
      <c r="A65" s="25" t="s">
        <v>227</v>
      </c>
      <c r="B65" s="25" t="s">
        <v>228</v>
      </c>
      <c r="C65" s="25" t="s">
        <v>173</v>
      </c>
      <c r="D65" s="25" t="s">
        <v>196</v>
      </c>
      <c r="E65" s="25" t="s">
        <v>196</v>
      </c>
      <c r="F65" s="25" t="n">
        <v>2</v>
      </c>
      <c r="G65" s="25" t="s">
        <v>51</v>
      </c>
      <c r="H65" s="25" t="s">
        <v>229</v>
      </c>
      <c r="J65" s="27"/>
      <c r="K65" s="29"/>
      <c r="L65" s="13"/>
    </row>
    <row r="66" customFormat="false" ht="15" hidden="false" customHeight="false" outlineLevel="0" collapsed="false">
      <c r="A66" s="7" t="s">
        <v>230</v>
      </c>
      <c r="B66" s="8"/>
      <c r="C66" s="8"/>
      <c r="D66" s="8"/>
      <c r="E66" s="8"/>
      <c r="F66" s="8"/>
      <c r="G66" s="8"/>
      <c r="H66" s="8"/>
    </row>
    <row r="67" customFormat="false" ht="15" hidden="false" customHeight="false" outlineLevel="0" collapsed="false">
      <c r="A67" s="25" t="s">
        <v>231</v>
      </c>
      <c r="B67" s="25" t="s">
        <v>232</v>
      </c>
      <c r="C67" s="25" t="s">
        <v>80</v>
      </c>
      <c r="D67" s="25" t="s">
        <v>196</v>
      </c>
      <c r="E67" s="25" t="s">
        <v>196</v>
      </c>
      <c r="F67" s="25" t="n">
        <v>5</v>
      </c>
      <c r="G67" s="25" t="s">
        <v>51</v>
      </c>
      <c r="H67" s="25" t="s">
        <v>233</v>
      </c>
      <c r="J67" s="27"/>
      <c r="K67" s="29"/>
      <c r="L67" s="13"/>
    </row>
    <row r="68" customFormat="false" ht="15" hidden="false" customHeight="false" outlineLevel="0" collapsed="false">
      <c r="A68" s="25" t="s">
        <v>234</v>
      </c>
      <c r="B68" s="25" t="s">
        <v>235</v>
      </c>
      <c r="C68" s="25" t="s">
        <v>80</v>
      </c>
      <c r="D68" s="25" t="s">
        <v>196</v>
      </c>
      <c r="E68" s="25" t="s">
        <v>196</v>
      </c>
      <c r="F68" s="25" t="n">
        <v>10</v>
      </c>
      <c r="G68" s="25" t="s">
        <v>51</v>
      </c>
      <c r="H68" s="25" t="s">
        <v>236</v>
      </c>
      <c r="J68" s="27"/>
      <c r="K68" s="29"/>
      <c r="L68" s="13"/>
    </row>
    <row r="69" customFormat="false" ht="15" hidden="false" customHeight="false" outlineLevel="0" collapsed="false">
      <c r="A69" s="25" t="s">
        <v>237</v>
      </c>
      <c r="B69" s="25" t="s">
        <v>238</v>
      </c>
      <c r="C69" s="25" t="s">
        <v>239</v>
      </c>
      <c r="D69" s="25" t="s">
        <v>196</v>
      </c>
      <c r="E69" s="25" t="s">
        <v>196</v>
      </c>
      <c r="F69" s="25" t="n">
        <v>6</v>
      </c>
      <c r="G69" s="25" t="s">
        <v>51</v>
      </c>
      <c r="H69" s="25" t="s">
        <v>240</v>
      </c>
      <c r="J69" s="27"/>
      <c r="K69" s="29"/>
      <c r="L69" s="13"/>
    </row>
    <row r="70" customFormat="false" ht="15" hidden="false" customHeight="false" outlineLevel="0" collapsed="false">
      <c r="A70" s="25" t="s">
        <v>241</v>
      </c>
      <c r="B70" s="25" t="s">
        <v>242</v>
      </c>
      <c r="C70" s="25" t="s">
        <v>239</v>
      </c>
      <c r="D70" s="25" t="s">
        <v>196</v>
      </c>
      <c r="E70" s="25" t="s">
        <v>196</v>
      </c>
      <c r="F70" s="25" t="n">
        <v>6</v>
      </c>
      <c r="G70" s="25" t="s">
        <v>51</v>
      </c>
      <c r="H70" s="25" t="s">
        <v>243</v>
      </c>
      <c r="J70" s="27"/>
      <c r="K70" s="29"/>
      <c r="L70" s="13"/>
    </row>
    <row r="71" customFormat="false" ht="15" hidden="false" customHeight="false" outlineLevel="0" collapsed="false">
      <c r="A71" s="25" t="s">
        <v>244</v>
      </c>
      <c r="B71" s="25" t="s">
        <v>210</v>
      </c>
      <c r="C71" s="25" t="s">
        <v>245</v>
      </c>
      <c r="D71" s="25" t="s">
        <v>196</v>
      </c>
      <c r="E71" s="25" t="s">
        <v>196</v>
      </c>
      <c r="F71" s="25" t="n">
        <v>4</v>
      </c>
      <c r="G71" s="25" t="s">
        <v>51</v>
      </c>
      <c r="H71" s="25" t="s">
        <v>246</v>
      </c>
      <c r="J71" s="27"/>
      <c r="K71" s="29"/>
      <c r="L71" s="13"/>
    </row>
    <row r="72" customFormat="false" ht="15" hidden="false" customHeight="false" outlineLevel="0" collapsed="false">
      <c r="A72" s="25" t="s">
        <v>247</v>
      </c>
      <c r="B72" s="25" t="s">
        <v>248</v>
      </c>
      <c r="C72" s="25" t="s">
        <v>196</v>
      </c>
      <c r="D72" s="25" t="s">
        <v>196</v>
      </c>
      <c r="E72" s="25" t="s">
        <v>196</v>
      </c>
      <c r="F72" s="25" t="n">
        <v>1</v>
      </c>
      <c r="G72" s="25" t="s">
        <v>51</v>
      </c>
      <c r="H72" s="25" t="s">
        <v>249</v>
      </c>
      <c r="J72" s="27"/>
      <c r="K72" s="29"/>
      <c r="L72" s="13"/>
    </row>
    <row r="73" customFormat="false" ht="15" hidden="false" customHeight="false" outlineLevel="0" collapsed="false">
      <c r="A73" s="7" t="s">
        <v>250</v>
      </c>
      <c r="B73" s="8"/>
      <c r="C73" s="8"/>
      <c r="D73" s="8"/>
      <c r="E73" s="8"/>
      <c r="F73" s="8"/>
      <c r="G73" s="8"/>
      <c r="H73" s="8"/>
    </row>
    <row r="74" customFormat="false" ht="27.75" hidden="false" customHeight="true" outlineLevel="0" collapsed="false">
      <c r="A74" s="30" t="s">
        <v>251</v>
      </c>
      <c r="B74" s="30" t="s">
        <v>252</v>
      </c>
      <c r="C74" s="30" t="s">
        <v>80</v>
      </c>
      <c r="D74" s="30" t="s">
        <v>253</v>
      </c>
      <c r="E74" s="30" t="s">
        <v>254</v>
      </c>
      <c r="F74" s="30" t="n">
        <v>6</v>
      </c>
      <c r="G74" s="30" t="s">
        <v>255</v>
      </c>
      <c r="H74" s="30" t="s">
        <v>256</v>
      </c>
      <c r="J74" s="27"/>
      <c r="K74" s="29"/>
      <c r="L74" s="13"/>
    </row>
    <row r="75" customFormat="false" ht="15" hidden="false" customHeight="false" outlineLevel="0" collapsed="false">
      <c r="A75" s="30" t="s">
        <v>257</v>
      </c>
      <c r="B75" s="30" t="s">
        <v>190</v>
      </c>
      <c r="C75" s="30" t="s">
        <v>48</v>
      </c>
      <c r="D75" s="30" t="s">
        <v>258</v>
      </c>
      <c r="E75" s="30" t="s">
        <v>42</v>
      </c>
      <c r="F75" s="30" t="n">
        <v>2</v>
      </c>
      <c r="G75" s="30" t="s">
        <v>259</v>
      </c>
      <c r="H75" s="30" t="s">
        <v>260</v>
      </c>
      <c r="J75" s="27"/>
      <c r="K75" s="29"/>
      <c r="L75" s="13"/>
    </row>
    <row r="76" customFormat="false" ht="15" hidden="false" customHeight="false" outlineLevel="0" collapsed="false">
      <c r="A76" s="30" t="s">
        <v>261</v>
      </c>
      <c r="B76" s="30" t="s">
        <v>168</v>
      </c>
      <c r="C76" s="30" t="s">
        <v>262</v>
      </c>
      <c r="D76" s="30" t="s">
        <v>178</v>
      </c>
      <c r="E76" s="30" t="s">
        <v>50</v>
      </c>
      <c r="F76" s="30" t="n">
        <v>6</v>
      </c>
      <c r="G76" s="30" t="s">
        <v>263</v>
      </c>
      <c r="H76" s="30" t="s">
        <v>264</v>
      </c>
      <c r="J76" s="27"/>
      <c r="K76" s="29"/>
      <c r="L76" s="13"/>
    </row>
    <row r="77" customFormat="false" ht="15" hidden="false" customHeight="false" outlineLevel="0" collapsed="false">
      <c r="A77" s="30" t="s">
        <v>265</v>
      </c>
      <c r="B77" s="30" t="s">
        <v>182</v>
      </c>
      <c r="C77" s="30" t="s">
        <v>262</v>
      </c>
      <c r="D77" s="30" t="s">
        <v>169</v>
      </c>
      <c r="E77" s="30" t="s">
        <v>186</v>
      </c>
      <c r="F77" s="30" t="n">
        <v>6</v>
      </c>
      <c r="G77" s="30" t="s">
        <v>263</v>
      </c>
      <c r="H77" s="30" t="s">
        <v>266</v>
      </c>
      <c r="J77" s="27"/>
      <c r="K77" s="29"/>
      <c r="L77" s="13"/>
    </row>
    <row r="78" customFormat="false" ht="15" hidden="false" customHeight="false" outlineLevel="0" collapsed="false">
      <c r="A78" s="30" t="s">
        <v>267</v>
      </c>
      <c r="B78" s="30" t="s">
        <v>268</v>
      </c>
      <c r="C78" s="30" t="s">
        <v>269</v>
      </c>
      <c r="D78" s="30" t="s">
        <v>270</v>
      </c>
      <c r="E78" s="30" t="s">
        <v>37</v>
      </c>
      <c r="F78" s="30" t="n">
        <v>2</v>
      </c>
      <c r="G78" s="30" t="s">
        <v>271</v>
      </c>
      <c r="H78" s="30" t="s">
        <v>272</v>
      </c>
      <c r="J78" s="27"/>
      <c r="K78" s="29"/>
      <c r="L78" s="13"/>
    </row>
    <row r="79" customFormat="false" ht="15" hidden="false" customHeight="false" outlineLevel="0" collapsed="false">
      <c r="A79" s="30" t="s">
        <v>273</v>
      </c>
      <c r="B79" s="30" t="s">
        <v>190</v>
      </c>
      <c r="C79" s="30" t="s">
        <v>269</v>
      </c>
      <c r="D79" s="30" t="s">
        <v>196</v>
      </c>
      <c r="E79" s="30" t="s">
        <v>196</v>
      </c>
      <c r="F79" s="30" t="n">
        <v>4</v>
      </c>
      <c r="G79" s="30" t="s">
        <v>271</v>
      </c>
      <c r="H79" s="30" t="s">
        <v>274</v>
      </c>
      <c r="J79" s="27"/>
      <c r="K79" s="29"/>
      <c r="L79" s="13"/>
    </row>
    <row r="80" customFormat="false" ht="27.75" hidden="false" customHeight="true" outlineLevel="0" collapsed="false">
      <c r="A80" s="30" t="s">
        <v>275</v>
      </c>
      <c r="B80" s="30" t="s">
        <v>276</v>
      </c>
      <c r="C80" s="30" t="s">
        <v>277</v>
      </c>
      <c r="D80" s="30" t="s">
        <v>169</v>
      </c>
      <c r="E80" s="30" t="s">
        <v>42</v>
      </c>
      <c r="F80" s="30" t="n">
        <v>2</v>
      </c>
      <c r="G80" s="30" t="s">
        <v>278</v>
      </c>
      <c r="H80" s="30" t="s">
        <v>279</v>
      </c>
      <c r="J80" s="27"/>
      <c r="K80" s="29"/>
      <c r="L80" s="13"/>
    </row>
    <row r="81" customFormat="false" ht="27.75" hidden="false" customHeight="true" outlineLevel="0" collapsed="false">
      <c r="A81" s="30" t="s">
        <v>280</v>
      </c>
      <c r="B81" s="30" t="s">
        <v>190</v>
      </c>
      <c r="C81" s="30" t="s">
        <v>277</v>
      </c>
      <c r="D81" s="30" t="s">
        <v>163</v>
      </c>
      <c r="E81" s="30" t="s">
        <v>42</v>
      </c>
      <c r="F81" s="30" t="n">
        <v>2</v>
      </c>
      <c r="G81" s="30" t="s">
        <v>278</v>
      </c>
      <c r="H81" s="30" t="s">
        <v>281</v>
      </c>
      <c r="J81" s="27"/>
      <c r="K81" s="29"/>
      <c r="L81" s="13"/>
    </row>
    <row r="82" customFormat="false" ht="27.75" hidden="false" customHeight="true" outlineLevel="0" collapsed="false">
      <c r="A82" s="30" t="s">
        <v>282</v>
      </c>
      <c r="B82" s="30" t="s">
        <v>283</v>
      </c>
      <c r="C82" s="30" t="s">
        <v>277</v>
      </c>
      <c r="D82" s="30" t="s">
        <v>196</v>
      </c>
      <c r="E82" s="30" t="s">
        <v>196</v>
      </c>
      <c r="F82" s="30" t="n">
        <v>2</v>
      </c>
      <c r="G82" s="30" t="s">
        <v>278</v>
      </c>
      <c r="H82" s="30" t="s">
        <v>121</v>
      </c>
      <c r="J82" s="27"/>
      <c r="K82" s="29"/>
      <c r="L82" s="13"/>
    </row>
    <row r="83" customFormat="false" ht="15" hidden="false" customHeight="false" outlineLevel="0" collapsed="false">
      <c r="A83" s="7" t="s">
        <v>284</v>
      </c>
      <c r="B83" s="8"/>
      <c r="C83" s="8"/>
      <c r="D83" s="8"/>
      <c r="E83" s="8"/>
      <c r="F83" s="8"/>
      <c r="G83" s="8"/>
      <c r="H83" s="8"/>
    </row>
    <row r="84" customFormat="false" ht="15" hidden="false" customHeight="false" outlineLevel="0" collapsed="false">
      <c r="A84" s="31" t="s">
        <v>285</v>
      </c>
      <c r="B84" s="31" t="s">
        <v>196</v>
      </c>
      <c r="C84" s="31" t="s">
        <v>286</v>
      </c>
      <c r="D84" s="31" t="s">
        <v>196</v>
      </c>
      <c r="E84" s="31" t="s">
        <v>196</v>
      </c>
      <c r="F84" s="31" t="n">
        <v>0</v>
      </c>
      <c r="G84" s="31" t="s">
        <v>287</v>
      </c>
      <c r="H84" s="31" t="s">
        <v>288</v>
      </c>
      <c r="J84" s="27"/>
      <c r="K84" s="29"/>
      <c r="L84" s="13"/>
    </row>
    <row r="85" customFormat="false" ht="15" hidden="false" customHeight="false" outlineLevel="0" collapsed="false">
      <c r="A85" s="31" t="s">
        <v>289</v>
      </c>
      <c r="B85" s="31" t="s">
        <v>290</v>
      </c>
      <c r="C85" s="31" t="s">
        <v>286</v>
      </c>
      <c r="D85" s="31" t="s">
        <v>196</v>
      </c>
      <c r="E85" s="31" t="s">
        <v>291</v>
      </c>
      <c r="F85" s="31" t="n">
        <v>0</v>
      </c>
      <c r="G85" s="31" t="s">
        <v>287</v>
      </c>
      <c r="H85" s="31" t="s">
        <v>292</v>
      </c>
      <c r="J85" s="27"/>
      <c r="K85" s="29"/>
      <c r="L85" s="13"/>
    </row>
    <row r="86" customFormat="false" ht="15" hidden="false" customHeight="false" outlineLevel="0" collapsed="false">
      <c r="A86" s="31" t="s">
        <v>293</v>
      </c>
      <c r="B86" s="31" t="s">
        <v>294</v>
      </c>
      <c r="C86" s="31" t="s">
        <v>295</v>
      </c>
      <c r="D86" s="31" t="s">
        <v>49</v>
      </c>
      <c r="E86" s="31" t="s">
        <v>37</v>
      </c>
      <c r="F86" s="31" t="n">
        <v>0</v>
      </c>
      <c r="G86" s="31" t="s">
        <v>296</v>
      </c>
      <c r="H86" s="31" t="s">
        <v>297</v>
      </c>
      <c r="J86" s="27"/>
      <c r="K86" s="29"/>
      <c r="L86" s="13"/>
    </row>
    <row r="88" customFormat="false" ht="15" hidden="false" customHeight="false" outlineLevel="0" collapsed="false">
      <c r="A88" s="32" t="s">
        <v>298</v>
      </c>
      <c r="F88" s="32" t="n">
        <f aca="false">SUM(F5:F86)</f>
        <v>432</v>
      </c>
    </row>
    <row r="90" customFormat="false" ht="15" hidden="false" customHeight="false" outlineLevel="0" collapsed="false">
      <c r="A90" s="33" t="s">
        <v>299</v>
      </c>
      <c r="K90" s="34" t="n">
        <f aca="false">SUM(K5:K87)</f>
        <v>147.14</v>
      </c>
    </row>
    <row r="91" customFormat="false" ht="15" hidden="false" customHeight="false" outlineLevel="0" collapsed="false">
      <c r="A91" s="35" t="s">
        <v>300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44"/>
    <col collapsed="false" customWidth="true" hidden="false" outlineLevel="0" max="2" min="2" style="0" width="18"/>
    <col collapsed="false" customWidth="true" hidden="false" outlineLevel="0" max="3" min="3" style="0" width="120"/>
  </cols>
  <sheetData>
    <row r="1" customFormat="false" ht="18" hidden="false" customHeight="true" outlineLevel="0" collapsed="false">
      <c r="A1" s="3" t="s">
        <v>301</v>
      </c>
    </row>
    <row r="2" customFormat="false" ht="15" hidden="false" customHeight="false" outlineLevel="0" collapsed="false">
      <c r="A2" s="4" t="s">
        <v>302</v>
      </c>
    </row>
    <row r="4" customFormat="false" ht="27.75" hidden="false" customHeight="true" outlineLevel="0" collapsed="false">
      <c r="A4" s="5" t="s">
        <v>2</v>
      </c>
      <c r="B4" s="5" t="s">
        <v>303</v>
      </c>
      <c r="C4" s="5" t="s">
        <v>304</v>
      </c>
    </row>
    <row r="5" customFormat="false" ht="15" hidden="false" customHeight="false" outlineLevel="0" collapsed="false">
      <c r="A5" s="36" t="s">
        <v>305</v>
      </c>
      <c r="B5" s="36" t="s">
        <v>306</v>
      </c>
      <c r="C5" s="36" t="s">
        <v>307</v>
      </c>
    </row>
    <row r="6" customFormat="false" ht="15" hidden="false" customHeight="false" outlineLevel="0" collapsed="false">
      <c r="A6" s="36" t="s">
        <v>308</v>
      </c>
      <c r="B6" s="36" t="s">
        <v>309</v>
      </c>
      <c r="C6" s="36" t="s">
        <v>310</v>
      </c>
    </row>
    <row r="7" customFormat="false" ht="15" hidden="false" customHeight="false" outlineLevel="0" collapsed="false">
      <c r="A7" s="36" t="s">
        <v>311</v>
      </c>
      <c r="B7" s="36" t="s">
        <v>312</v>
      </c>
      <c r="C7" s="36" t="s">
        <v>313</v>
      </c>
    </row>
    <row r="8" customFormat="false" ht="15" hidden="false" customHeight="false" outlineLevel="0" collapsed="false">
      <c r="A8" s="36" t="s">
        <v>314</v>
      </c>
      <c r="B8" s="36" t="s">
        <v>315</v>
      </c>
      <c r="C8" s="36" t="s">
        <v>316</v>
      </c>
    </row>
    <row r="9" customFormat="false" ht="15" hidden="false" customHeight="false" outlineLevel="0" collapsed="false">
      <c r="A9" s="36" t="s">
        <v>317</v>
      </c>
      <c r="B9" s="36" t="s">
        <v>318</v>
      </c>
      <c r="C9" s="36" t="s">
        <v>319</v>
      </c>
    </row>
    <row r="10" customFormat="false" ht="15" hidden="false" customHeight="false" outlineLevel="0" collapsed="false">
      <c r="A10" s="36" t="s">
        <v>320</v>
      </c>
      <c r="B10" s="36" t="s">
        <v>321</v>
      </c>
      <c r="C10" s="36" t="s">
        <v>322</v>
      </c>
    </row>
    <row r="11" customFormat="false" ht="15" hidden="false" customHeight="false" outlineLevel="0" collapsed="false">
      <c r="A11" s="36" t="s">
        <v>323</v>
      </c>
      <c r="B11" s="36" t="s">
        <v>324</v>
      </c>
      <c r="C11" s="36" t="s">
        <v>325</v>
      </c>
    </row>
    <row r="12" customFormat="false" ht="15" hidden="false" customHeight="false" outlineLevel="0" collapsed="false">
      <c r="A12" s="36" t="s">
        <v>326</v>
      </c>
      <c r="B12" s="36" t="s">
        <v>327</v>
      </c>
      <c r="C12" s="36" t="s">
        <v>328</v>
      </c>
    </row>
    <row r="13" customFormat="false" ht="15" hidden="false" customHeight="false" outlineLevel="0" collapsed="false">
      <c r="A13" s="36" t="s">
        <v>329</v>
      </c>
      <c r="B13" s="36" t="s">
        <v>330</v>
      </c>
      <c r="C13" s="36" t="s">
        <v>331</v>
      </c>
    </row>
    <row r="14" customFormat="false" ht="15" hidden="false" customHeight="false" outlineLevel="0" collapsed="false">
      <c r="A14" s="36" t="s">
        <v>332</v>
      </c>
      <c r="B14" s="36" t="s">
        <v>333</v>
      </c>
      <c r="C14" s="36" t="s">
        <v>334</v>
      </c>
    </row>
    <row r="15" customFormat="false" ht="15" hidden="false" customHeight="false" outlineLevel="0" collapsed="false">
      <c r="A15" s="36" t="s">
        <v>335</v>
      </c>
      <c r="B15" s="36" t="s">
        <v>336</v>
      </c>
      <c r="C15" s="36" t="s">
        <v>337</v>
      </c>
    </row>
    <row r="16" customFormat="false" ht="42" hidden="false" customHeight="true" outlineLevel="0" collapsed="false">
      <c r="A16" s="36" t="s">
        <v>338</v>
      </c>
      <c r="B16" s="36" t="s">
        <v>339</v>
      </c>
      <c r="C16" s="36" t="s">
        <v>340</v>
      </c>
    </row>
    <row r="17" customFormat="false" ht="27.75" hidden="false" customHeight="true" outlineLevel="0" collapsed="false">
      <c r="A17" s="36" t="s">
        <v>341</v>
      </c>
      <c r="B17" s="37"/>
      <c r="C17" s="36" t="s">
        <v>342</v>
      </c>
    </row>
    <row r="18" customFormat="false" ht="27.75" hidden="false" customHeight="true" outlineLevel="0" collapsed="false">
      <c r="A18" s="36" t="s">
        <v>343</v>
      </c>
      <c r="B18" s="37"/>
      <c r="C18" s="36" t="s">
        <v>344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6796875" defaultRowHeight="15" zeroHeight="false" outlineLevelRow="0" outlineLevelCol="0"/>
  <cols>
    <col collapsed="false" customWidth="true" hidden="false" outlineLevel="0" max="1" min="1" style="0" width="38"/>
    <col collapsed="false" customWidth="true" hidden="false" outlineLevel="0" max="2" min="2" style="0" width="150"/>
  </cols>
  <sheetData>
    <row r="1" customFormat="false" ht="18" hidden="false" customHeight="true" outlineLevel="0" collapsed="false">
      <c r="A1" s="3" t="s">
        <v>345</v>
      </c>
    </row>
    <row r="3" customFormat="false" ht="27.75" hidden="false" customHeight="true" outlineLevel="0" collapsed="false">
      <c r="A3" s="5" t="s">
        <v>346</v>
      </c>
      <c r="B3" s="5" t="s">
        <v>304</v>
      </c>
    </row>
    <row r="4" customFormat="false" ht="42" hidden="false" customHeight="true" outlineLevel="0" collapsed="false">
      <c r="A4" s="38" t="s">
        <v>347</v>
      </c>
      <c r="B4" s="36" t="s">
        <v>348</v>
      </c>
    </row>
    <row r="5" customFormat="false" ht="42" hidden="false" customHeight="true" outlineLevel="0" collapsed="false">
      <c r="A5" s="38" t="s">
        <v>349</v>
      </c>
      <c r="B5" s="36" t="s">
        <v>350</v>
      </c>
    </row>
    <row r="6" customFormat="false" ht="27.75" hidden="false" customHeight="true" outlineLevel="0" collapsed="false">
      <c r="A6" s="38" t="s">
        <v>351</v>
      </c>
      <c r="B6" s="36" t="s">
        <v>352</v>
      </c>
    </row>
    <row r="7" customFormat="false" ht="27.75" hidden="false" customHeight="true" outlineLevel="0" collapsed="false">
      <c r="A7" s="38" t="s">
        <v>353</v>
      </c>
      <c r="B7" s="36" t="s">
        <v>354</v>
      </c>
    </row>
    <row r="8" customFormat="false" ht="27.75" hidden="false" customHeight="true" outlineLevel="0" collapsed="false">
      <c r="A8" s="38" t="s">
        <v>355</v>
      </c>
      <c r="B8" s="36" t="s">
        <v>356</v>
      </c>
    </row>
    <row r="9" customFormat="false" ht="27.75" hidden="false" customHeight="true" outlineLevel="0" collapsed="false">
      <c r="A9" s="38" t="s">
        <v>357</v>
      </c>
      <c r="B9" s="36" t="s">
        <v>358</v>
      </c>
    </row>
    <row r="10" customFormat="false" ht="27.75" hidden="false" customHeight="true" outlineLevel="0" collapsed="false">
      <c r="A10" s="38" t="s">
        <v>359</v>
      </c>
      <c r="B10" s="36" t="s">
        <v>360</v>
      </c>
    </row>
    <row r="11" customFormat="false" ht="27.75" hidden="false" customHeight="true" outlineLevel="0" collapsed="false">
      <c r="A11" s="38" t="s">
        <v>361</v>
      </c>
      <c r="B11" s="36" t="s">
        <v>362</v>
      </c>
    </row>
    <row r="12" customFormat="false" ht="27.75" hidden="false" customHeight="true" outlineLevel="0" collapsed="false">
      <c r="A12" s="38" t="s">
        <v>363</v>
      </c>
      <c r="B12" s="36" t="s">
        <v>364</v>
      </c>
    </row>
    <row r="13" customFormat="false" ht="27.75" hidden="false" customHeight="true" outlineLevel="0" collapsed="false">
      <c r="A13" s="38" t="s">
        <v>365</v>
      </c>
      <c r="B13" s="36" t="s">
        <v>366</v>
      </c>
    </row>
    <row r="14" customFormat="false" ht="42" hidden="false" customHeight="true" outlineLevel="0" collapsed="false">
      <c r="A14" s="38" t="s">
        <v>367</v>
      </c>
      <c r="B14" s="36" t="s">
        <v>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2026-08-17T23:21:21Z</dcterms:created>
  <dc:creator>openpyxl</dc:creator>
  <dc:description/>
  <dc:language>en-US</dc:language>
  <cp:lastModifiedBy>Mike Hansen</cp:lastModifiedBy>
  <dcterms:modified xsi:type="dcterms:W3CDTF">2026-08-18T00:43:11Z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